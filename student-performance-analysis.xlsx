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bhara\OneDrive\Desktop\Data analytics\"/>
    </mc:Choice>
  </mc:AlternateContent>
  <xr:revisionPtr revIDLastSave="51" documentId="8_{9A10D1E0-C4A2-4A9A-9293-C70565BBB281}" xr6:coauthVersionLast="36" xr6:coauthVersionMax="36" xr10:uidLastSave="{D469E0FE-3D44-4896-8960-7EFDEE817724}"/>
  <bookViews>
    <workbookView xWindow="0" yWindow="0" windowWidth="23040" windowHeight="8364" activeTab="3" xr2:uid="{84AB546F-26D9-4287-BAD9-27804E4CA2EE}"/>
  </bookViews>
  <sheets>
    <sheet name="Pivot Table-1" sheetId="2" r:id="rId1"/>
    <sheet name="Pivot Table-2" sheetId="3" r:id="rId2"/>
    <sheet name="Pivot Table-3" sheetId="4" r:id="rId3"/>
    <sheet name="Student Data" sheetId="1" r:id="rId4"/>
    <sheet name="Dashboard" sheetId="5" r:id="rId5"/>
  </sheets>
  <definedNames>
    <definedName name="_xlnm._FilterDatabase" localSheetId="3" hidden="1">'Student Data'!$D$5:$S$160</definedName>
    <definedName name="Slicer_GENDER">#N/A</definedName>
    <definedName name="Slicer_RANK">#N/A</definedName>
    <definedName name="Slicer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58" i="1" l="1"/>
  <c r="K158" i="1"/>
  <c r="N158" i="1"/>
  <c r="L158" i="1"/>
  <c r="M158" i="1"/>
  <c r="J157" i="1"/>
  <c r="K157" i="1"/>
  <c r="N157" i="1"/>
  <c r="L157" i="1"/>
  <c r="M157" i="1"/>
  <c r="J156" i="1"/>
  <c r="K156" i="1"/>
  <c r="N156" i="1"/>
  <c r="L156" i="1"/>
  <c r="M156" i="1"/>
  <c r="M136" i="1"/>
  <c r="M137" i="1"/>
  <c r="M138" i="1"/>
  <c r="M139" i="1"/>
  <c r="M140" i="1"/>
  <c r="M141" i="1"/>
  <c r="M142" i="1"/>
  <c r="M143" i="1"/>
  <c r="M144" i="1"/>
  <c r="M145" i="1"/>
  <c r="M146" i="1"/>
  <c r="M147" i="1"/>
  <c r="M148" i="1"/>
  <c r="M149" i="1"/>
  <c r="M150" i="1"/>
  <c r="M151" i="1"/>
  <c r="M152" i="1"/>
  <c r="M153" i="1"/>
  <c r="M154" i="1"/>
  <c r="M155" i="1"/>
  <c r="M112" i="1"/>
  <c r="M113" i="1"/>
  <c r="M114" i="1"/>
  <c r="M115" i="1"/>
  <c r="M116" i="1"/>
  <c r="M117" i="1"/>
  <c r="M118" i="1"/>
  <c r="M119" i="1"/>
  <c r="M120" i="1"/>
  <c r="M121" i="1"/>
  <c r="M122" i="1"/>
  <c r="M123" i="1"/>
  <c r="M124" i="1"/>
  <c r="M125" i="1"/>
  <c r="M126" i="1"/>
  <c r="M127" i="1"/>
  <c r="M128" i="1"/>
  <c r="M129" i="1"/>
  <c r="M130" i="1"/>
  <c r="M131" i="1"/>
  <c r="M132" i="1"/>
  <c r="M133" i="1"/>
  <c r="M134" i="1"/>
  <c r="M135"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53" i="1"/>
  <c r="M54" i="1"/>
  <c r="M55" i="1"/>
  <c r="M56" i="1"/>
  <c r="M57" i="1"/>
  <c r="M58" i="1"/>
  <c r="M59" i="1"/>
  <c r="M60" i="1"/>
  <c r="M61" i="1"/>
  <c r="M62" i="1"/>
  <c r="M63" i="1"/>
  <c r="M64" i="1"/>
  <c r="M65" i="1"/>
  <c r="M66" i="1"/>
  <c r="M67" i="1"/>
  <c r="M68" i="1"/>
  <c r="M69" i="1"/>
  <c r="M70" i="1"/>
  <c r="M71" i="1"/>
  <c r="M29" i="1"/>
  <c r="M30" i="1"/>
  <c r="M31" i="1"/>
  <c r="M32" i="1"/>
  <c r="M33" i="1"/>
  <c r="M34" i="1"/>
  <c r="M35" i="1"/>
  <c r="M36" i="1"/>
  <c r="M37" i="1"/>
  <c r="M38" i="1"/>
  <c r="M39" i="1"/>
  <c r="M40" i="1"/>
  <c r="M41" i="1"/>
  <c r="M42" i="1"/>
  <c r="M43" i="1"/>
  <c r="M44" i="1"/>
  <c r="M45" i="1"/>
  <c r="M46" i="1"/>
  <c r="M47" i="1"/>
  <c r="M48" i="1"/>
  <c r="M49" i="1"/>
  <c r="M50" i="1"/>
  <c r="M51" i="1"/>
  <c r="M52" i="1"/>
  <c r="M7" i="1"/>
  <c r="M8" i="1"/>
  <c r="M9" i="1"/>
  <c r="M10" i="1"/>
  <c r="M11" i="1"/>
  <c r="M12" i="1"/>
  <c r="M13" i="1"/>
  <c r="M14" i="1"/>
  <c r="M15" i="1"/>
  <c r="M16" i="1"/>
  <c r="M17" i="1"/>
  <c r="M18" i="1"/>
  <c r="M19" i="1"/>
  <c r="M20" i="1"/>
  <c r="M21" i="1"/>
  <c r="M22" i="1"/>
  <c r="M23" i="1"/>
  <c r="M24" i="1"/>
  <c r="M25" i="1"/>
  <c r="M26" i="1"/>
  <c r="M27" i="1"/>
  <c r="M28" i="1"/>
  <c r="M6" i="1"/>
  <c r="L139" i="1"/>
  <c r="L140" i="1"/>
  <c r="L141" i="1"/>
  <c r="L142" i="1"/>
  <c r="L143" i="1"/>
  <c r="L144" i="1"/>
  <c r="L145" i="1"/>
  <c r="L146" i="1"/>
  <c r="L147" i="1"/>
  <c r="L148" i="1"/>
  <c r="L149" i="1"/>
  <c r="L150" i="1"/>
  <c r="L151" i="1"/>
  <c r="L152" i="1"/>
  <c r="L153" i="1"/>
  <c r="L154" i="1"/>
  <c r="L155" i="1"/>
  <c r="L117" i="1"/>
  <c r="L118" i="1"/>
  <c r="L119" i="1"/>
  <c r="L120" i="1"/>
  <c r="L121" i="1"/>
  <c r="L122" i="1"/>
  <c r="L123" i="1"/>
  <c r="L124" i="1"/>
  <c r="L125" i="1"/>
  <c r="L126" i="1"/>
  <c r="L127" i="1"/>
  <c r="L128" i="1"/>
  <c r="L129" i="1"/>
  <c r="L130" i="1"/>
  <c r="L131" i="1"/>
  <c r="L132" i="1"/>
  <c r="L133" i="1"/>
  <c r="L134" i="1"/>
  <c r="L135" i="1"/>
  <c r="L136" i="1"/>
  <c r="L137" i="1"/>
  <c r="L138" i="1"/>
  <c r="L96" i="1"/>
  <c r="L97" i="1"/>
  <c r="L98" i="1"/>
  <c r="L99" i="1"/>
  <c r="L100" i="1"/>
  <c r="L101" i="1"/>
  <c r="L102" i="1"/>
  <c r="L103" i="1"/>
  <c r="L104" i="1"/>
  <c r="L105" i="1"/>
  <c r="L106" i="1"/>
  <c r="L107" i="1"/>
  <c r="L108" i="1"/>
  <c r="L109" i="1"/>
  <c r="L110" i="1"/>
  <c r="L111" i="1"/>
  <c r="L112" i="1"/>
  <c r="L113" i="1"/>
  <c r="L114" i="1"/>
  <c r="L115" i="1"/>
  <c r="L116" i="1"/>
  <c r="L73" i="1"/>
  <c r="L74" i="1"/>
  <c r="L75" i="1"/>
  <c r="L76" i="1"/>
  <c r="L77" i="1"/>
  <c r="L78" i="1"/>
  <c r="L79" i="1"/>
  <c r="L80" i="1"/>
  <c r="L81" i="1"/>
  <c r="L82" i="1"/>
  <c r="L83" i="1"/>
  <c r="L84" i="1"/>
  <c r="L85" i="1"/>
  <c r="L86" i="1"/>
  <c r="L87" i="1"/>
  <c r="L88" i="1"/>
  <c r="L89" i="1"/>
  <c r="L90" i="1"/>
  <c r="L91" i="1"/>
  <c r="L92" i="1"/>
  <c r="L93" i="1"/>
  <c r="L94" i="1"/>
  <c r="L95" i="1"/>
  <c r="L57" i="1"/>
  <c r="L58" i="1"/>
  <c r="L59" i="1"/>
  <c r="L60" i="1"/>
  <c r="L61" i="1"/>
  <c r="L62" i="1"/>
  <c r="L63" i="1"/>
  <c r="L64" i="1"/>
  <c r="L65" i="1"/>
  <c r="L66" i="1"/>
  <c r="L67" i="1"/>
  <c r="L68" i="1"/>
  <c r="L69" i="1"/>
  <c r="L70" i="1"/>
  <c r="L71" i="1"/>
  <c r="L72" i="1"/>
  <c r="L40" i="1"/>
  <c r="L41" i="1"/>
  <c r="L42" i="1"/>
  <c r="L43" i="1"/>
  <c r="L44" i="1"/>
  <c r="L45" i="1"/>
  <c r="L46" i="1"/>
  <c r="L47" i="1"/>
  <c r="L48" i="1"/>
  <c r="L49" i="1"/>
  <c r="L50" i="1"/>
  <c r="L51" i="1"/>
  <c r="L52" i="1"/>
  <c r="L53" i="1"/>
  <c r="L54" i="1"/>
  <c r="L55" i="1"/>
  <c r="L56" i="1"/>
  <c r="L24" i="1"/>
  <c r="L25" i="1"/>
  <c r="L26" i="1"/>
  <c r="L27" i="1"/>
  <c r="L28" i="1"/>
  <c r="L29" i="1"/>
  <c r="L30" i="1"/>
  <c r="L31" i="1"/>
  <c r="L32" i="1"/>
  <c r="L33" i="1"/>
  <c r="L34" i="1"/>
  <c r="L35" i="1"/>
  <c r="L36" i="1"/>
  <c r="L37" i="1"/>
  <c r="L38" i="1"/>
  <c r="L39" i="1"/>
  <c r="L12" i="1"/>
  <c r="L13" i="1"/>
  <c r="L14" i="1"/>
  <c r="L15" i="1"/>
  <c r="L16" i="1"/>
  <c r="L17" i="1"/>
  <c r="L18" i="1"/>
  <c r="L19" i="1"/>
  <c r="L20" i="1"/>
  <c r="L21" i="1"/>
  <c r="L22" i="1"/>
  <c r="L23" i="1"/>
  <c r="L7" i="1"/>
  <c r="L8" i="1"/>
  <c r="L9" i="1"/>
  <c r="L10" i="1"/>
  <c r="L11" i="1"/>
  <c r="L6"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K152" i="1" l="1"/>
  <c r="K153" i="1"/>
  <c r="K154" i="1"/>
  <c r="K155"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49" i="1"/>
  <c r="K50" i="1"/>
  <c r="K51" i="1"/>
  <c r="K52" i="1"/>
  <c r="K53" i="1"/>
  <c r="K54" i="1"/>
  <c r="K55" i="1"/>
  <c r="N55" i="1" s="1"/>
  <c r="K56" i="1"/>
  <c r="K57" i="1"/>
  <c r="K58" i="1"/>
  <c r="K59" i="1"/>
  <c r="N59" i="1" s="1"/>
  <c r="K60" i="1"/>
  <c r="K61" i="1"/>
  <c r="K62" i="1"/>
  <c r="K63" i="1"/>
  <c r="K64" i="1"/>
  <c r="K65" i="1"/>
  <c r="K66" i="1"/>
  <c r="K67" i="1"/>
  <c r="K68" i="1"/>
  <c r="K69" i="1"/>
  <c r="K70" i="1"/>
  <c r="K27" i="1"/>
  <c r="K28" i="1"/>
  <c r="K29" i="1"/>
  <c r="K30" i="1"/>
  <c r="N30" i="1" s="1"/>
  <c r="K31" i="1"/>
  <c r="N31" i="1" s="1"/>
  <c r="K32" i="1"/>
  <c r="K33" i="1"/>
  <c r="K34" i="1"/>
  <c r="K35" i="1"/>
  <c r="K36" i="1"/>
  <c r="K37" i="1"/>
  <c r="K38" i="1"/>
  <c r="N38" i="1" s="1"/>
  <c r="K39" i="1"/>
  <c r="N39" i="1" s="1"/>
  <c r="K40" i="1"/>
  <c r="K41" i="1"/>
  <c r="K42" i="1"/>
  <c r="N42" i="1" s="1"/>
  <c r="K43" i="1"/>
  <c r="N43" i="1" s="1"/>
  <c r="K44" i="1"/>
  <c r="N44" i="1" s="1"/>
  <c r="K45" i="1"/>
  <c r="K46" i="1"/>
  <c r="K47" i="1"/>
  <c r="K48" i="1"/>
  <c r="K7" i="1"/>
  <c r="K8" i="1"/>
  <c r="K9" i="1"/>
  <c r="K10" i="1"/>
  <c r="N10" i="1" s="1"/>
  <c r="K11" i="1"/>
  <c r="K12" i="1"/>
  <c r="K13" i="1"/>
  <c r="K14" i="1"/>
  <c r="N14" i="1" s="1"/>
  <c r="K15" i="1"/>
  <c r="K16" i="1"/>
  <c r="N16" i="1" s="1"/>
  <c r="K17" i="1"/>
  <c r="K18" i="1"/>
  <c r="N18" i="1" s="1"/>
  <c r="K19" i="1"/>
  <c r="K20" i="1"/>
  <c r="N20" i="1" s="1"/>
  <c r="K21" i="1"/>
  <c r="K22" i="1"/>
  <c r="N22" i="1" s="1"/>
  <c r="K23" i="1"/>
  <c r="K24" i="1"/>
  <c r="K25" i="1"/>
  <c r="K26" i="1"/>
  <c r="K6" i="1"/>
  <c r="N6" i="1" s="1"/>
  <c r="N81" i="1" l="1"/>
  <c r="N65" i="1"/>
  <c r="N33" i="1"/>
  <c r="N49" i="1"/>
  <c r="N97" i="1"/>
  <c r="N118" i="1"/>
  <c r="N9" i="1"/>
  <c r="N21" i="1"/>
  <c r="N45" i="1"/>
  <c r="N29" i="1"/>
  <c r="N93" i="1"/>
  <c r="N77" i="1"/>
  <c r="N61" i="1"/>
  <c r="N130" i="1"/>
  <c r="N114" i="1"/>
  <c r="N25" i="1"/>
  <c r="N17" i="1"/>
  <c r="N41" i="1"/>
  <c r="N105" i="1"/>
  <c r="N89" i="1"/>
  <c r="N73" i="1"/>
  <c r="N57" i="1"/>
  <c r="N126" i="1"/>
  <c r="N110" i="1"/>
  <c r="N13" i="1"/>
  <c r="N37" i="1"/>
  <c r="N101" i="1"/>
  <c r="N85" i="1"/>
  <c r="N69" i="1"/>
  <c r="N53" i="1"/>
  <c r="N122" i="1"/>
  <c r="N155" i="1"/>
  <c r="N151" i="1"/>
  <c r="N147" i="1"/>
  <c r="N143" i="1"/>
  <c r="N139" i="1"/>
  <c r="N135" i="1"/>
  <c r="N24" i="1"/>
  <c r="N12" i="1"/>
  <c r="N8" i="1"/>
  <c r="N40" i="1"/>
  <c r="N36" i="1"/>
  <c r="N32" i="1"/>
  <c r="N28" i="1"/>
  <c r="N104" i="1"/>
  <c r="N100" i="1"/>
  <c r="N96" i="1"/>
  <c r="N92" i="1"/>
  <c r="N88" i="1"/>
  <c r="N84" i="1"/>
  <c r="N80" i="1"/>
  <c r="N76" i="1"/>
  <c r="N72" i="1"/>
  <c r="N68" i="1"/>
  <c r="N64" i="1"/>
  <c r="N60" i="1"/>
  <c r="N56" i="1"/>
  <c r="N52" i="1"/>
  <c r="N48" i="1"/>
  <c r="N129" i="1"/>
  <c r="N125" i="1"/>
  <c r="N121" i="1"/>
  <c r="N117" i="1"/>
  <c r="N113" i="1"/>
  <c r="N109" i="1"/>
  <c r="N154" i="1"/>
  <c r="N150" i="1"/>
  <c r="N146" i="1"/>
  <c r="N142" i="1"/>
  <c r="N138" i="1"/>
  <c r="N134" i="1"/>
  <c r="N23" i="1"/>
  <c r="N19" i="1"/>
  <c r="N15" i="1"/>
  <c r="N11" i="1"/>
  <c r="N7" i="1"/>
  <c r="N35" i="1"/>
  <c r="N27" i="1"/>
  <c r="N103" i="1"/>
  <c r="N99" i="1"/>
  <c r="N95" i="1"/>
  <c r="N91" i="1"/>
  <c r="N87" i="1"/>
  <c r="N83" i="1"/>
  <c r="N79" i="1"/>
  <c r="N75" i="1"/>
  <c r="N71" i="1"/>
  <c r="N67" i="1"/>
  <c r="N63" i="1"/>
  <c r="N51" i="1"/>
  <c r="N47" i="1"/>
  <c r="N128" i="1"/>
  <c r="N124" i="1"/>
  <c r="N120" i="1"/>
  <c r="N116" i="1"/>
  <c r="N112" i="1"/>
  <c r="N108" i="1"/>
  <c r="N153" i="1"/>
  <c r="N149" i="1"/>
  <c r="N145" i="1"/>
  <c r="N141" i="1"/>
  <c r="N137" i="1"/>
  <c r="N133" i="1"/>
  <c r="N26" i="1"/>
  <c r="N46" i="1"/>
  <c r="N34" i="1"/>
  <c r="N106" i="1"/>
  <c r="N102" i="1"/>
  <c r="N98" i="1"/>
  <c r="N94" i="1"/>
  <c r="N90" i="1"/>
  <c r="N86" i="1"/>
  <c r="N82" i="1"/>
  <c r="N78" i="1"/>
  <c r="N74" i="1"/>
  <c r="N70" i="1"/>
  <c r="N66" i="1"/>
  <c r="N62" i="1"/>
  <c r="N58" i="1"/>
  <c r="N54" i="1"/>
  <c r="N50" i="1"/>
  <c r="N131" i="1"/>
  <c r="N127" i="1"/>
  <c r="N123" i="1"/>
  <c r="N119" i="1"/>
  <c r="N115" i="1"/>
  <c r="N111" i="1"/>
  <c r="N107" i="1"/>
  <c r="N152" i="1"/>
  <c r="N148" i="1"/>
  <c r="N144" i="1"/>
  <c r="N140" i="1"/>
  <c r="N136" i="1"/>
  <c r="N132" i="1"/>
</calcChain>
</file>

<file path=xl/sharedStrings.xml><?xml version="1.0" encoding="utf-8"?>
<sst xmlns="http://schemas.openxmlformats.org/spreadsheetml/2006/main" count="683" uniqueCount="148">
  <si>
    <t>ID</t>
  </si>
  <si>
    <t>STUDENT_NAME</t>
  </si>
  <si>
    <t>SUB-1</t>
  </si>
  <si>
    <t>SUB-2</t>
  </si>
  <si>
    <t>TOTAL</t>
  </si>
  <si>
    <t>GRADE</t>
  </si>
  <si>
    <t>GENDER</t>
  </si>
  <si>
    <t>DEPARTMENT</t>
  </si>
  <si>
    <t>Emma</t>
  </si>
  <si>
    <t>Sudheer</t>
  </si>
  <si>
    <t>Srija</t>
  </si>
  <si>
    <t>Mia</t>
  </si>
  <si>
    <t>Ajay</t>
  </si>
  <si>
    <t>Luna</t>
  </si>
  <si>
    <t>Ashok</t>
  </si>
  <si>
    <t>Amith</t>
  </si>
  <si>
    <t>Taylore</t>
  </si>
  <si>
    <t>John</t>
  </si>
  <si>
    <t>Eligibeth</t>
  </si>
  <si>
    <t>Tina</t>
  </si>
  <si>
    <t>Kiyara</t>
  </si>
  <si>
    <t>Sreedhar</t>
  </si>
  <si>
    <t>Devid</t>
  </si>
  <si>
    <t>Albert</t>
  </si>
  <si>
    <t>Krithi</t>
  </si>
  <si>
    <t>Srinu</t>
  </si>
  <si>
    <t>Aaron</t>
  </si>
  <si>
    <t>Ardian</t>
  </si>
  <si>
    <t>Bella</t>
  </si>
  <si>
    <t>Claire</t>
  </si>
  <si>
    <t>Daisy</t>
  </si>
  <si>
    <t>Ellie</t>
  </si>
  <si>
    <t>Sean</t>
  </si>
  <si>
    <t>Parker</t>
  </si>
  <si>
    <t>Jason</t>
  </si>
  <si>
    <t>Trevor</t>
  </si>
  <si>
    <t>Hunter</t>
  </si>
  <si>
    <t>Addison</t>
  </si>
  <si>
    <t>Hailey</t>
  </si>
  <si>
    <t>Jade</t>
  </si>
  <si>
    <t>Ram</t>
  </si>
  <si>
    <t>Camila</t>
  </si>
  <si>
    <t>Samantha</t>
  </si>
  <si>
    <t>Natalie</t>
  </si>
  <si>
    <t>Arjun</t>
  </si>
  <si>
    <t>Kaveri</t>
  </si>
  <si>
    <t>Bharath</t>
  </si>
  <si>
    <t>Smitha</t>
  </si>
  <si>
    <t>Sneha</t>
  </si>
  <si>
    <t>Sreeja</t>
  </si>
  <si>
    <t>Sameera</t>
  </si>
  <si>
    <t>Everly</t>
  </si>
  <si>
    <t>Jordan</t>
  </si>
  <si>
    <t>Sophiya</t>
  </si>
  <si>
    <t>Sohel</t>
  </si>
  <si>
    <t>Sharadha</t>
  </si>
  <si>
    <t>Sritha</t>
  </si>
  <si>
    <t>Paisley</t>
  </si>
  <si>
    <t>Joseph</t>
  </si>
  <si>
    <t>Krish</t>
  </si>
  <si>
    <t>Susmitha</t>
  </si>
  <si>
    <t>Anshu</t>
  </si>
  <si>
    <t>Aakash</t>
  </si>
  <si>
    <t>Gabriella</t>
  </si>
  <si>
    <t>Kayla</t>
  </si>
  <si>
    <t>Lillian</t>
  </si>
  <si>
    <t>Adrian</t>
  </si>
  <si>
    <t>Evan</t>
  </si>
  <si>
    <t>Isaac</t>
  </si>
  <si>
    <t>Kyle</t>
  </si>
  <si>
    <t>Sekhar</t>
  </si>
  <si>
    <t>Lucas</t>
  </si>
  <si>
    <t>Ajith</t>
  </si>
  <si>
    <t>Amrith</t>
  </si>
  <si>
    <t>Shuhas</t>
  </si>
  <si>
    <t>Kaml</t>
  </si>
  <si>
    <t>Kiran</t>
  </si>
  <si>
    <t>Sahasra</t>
  </si>
  <si>
    <t>Srasti</t>
  </si>
  <si>
    <t>Mano</t>
  </si>
  <si>
    <t>Abhishek</t>
  </si>
  <si>
    <t>Susuila</t>
  </si>
  <si>
    <t>Susma</t>
  </si>
  <si>
    <t>Ava</t>
  </si>
  <si>
    <t>Chloe</t>
  </si>
  <si>
    <t>Krishna</t>
  </si>
  <si>
    <t>Sumanth</t>
  </si>
  <si>
    <t xml:space="preserve">Suman </t>
  </si>
  <si>
    <t>Bharani</t>
  </si>
  <si>
    <t>Thanuja</t>
  </si>
  <si>
    <t>Anirudh</t>
  </si>
  <si>
    <t>Anurag</t>
  </si>
  <si>
    <t>Gokul</t>
  </si>
  <si>
    <t>Balaji</t>
  </si>
  <si>
    <t>Bhagya</t>
  </si>
  <si>
    <t>Lavanya</t>
  </si>
  <si>
    <t>Hema</t>
  </si>
  <si>
    <t>Bindhu</t>
  </si>
  <si>
    <t>Bhargav</t>
  </si>
  <si>
    <t>Female</t>
  </si>
  <si>
    <t>Male</t>
  </si>
  <si>
    <t>CSE</t>
  </si>
  <si>
    <t>ECE</t>
  </si>
  <si>
    <t>EEE</t>
  </si>
  <si>
    <t>AI&amp;ML</t>
  </si>
  <si>
    <t>E</t>
  </si>
  <si>
    <t>CIVIL</t>
  </si>
  <si>
    <t>MARKS</t>
  </si>
  <si>
    <t>90-100</t>
  </si>
  <si>
    <t>A</t>
  </si>
  <si>
    <t>B</t>
  </si>
  <si>
    <t>75-89</t>
  </si>
  <si>
    <t>&lt;40</t>
  </si>
  <si>
    <t>41-55</t>
  </si>
  <si>
    <t>D</t>
  </si>
  <si>
    <t>56-74</t>
  </si>
  <si>
    <t>C</t>
  </si>
  <si>
    <t>STATUS</t>
  </si>
  <si>
    <t>RANK</t>
  </si>
  <si>
    <t>z</t>
  </si>
  <si>
    <t xml:space="preserve">AVERAGE </t>
  </si>
  <si>
    <t>Hemanth</t>
  </si>
  <si>
    <t>Chaithanya</t>
  </si>
  <si>
    <t>Nag</t>
  </si>
  <si>
    <t>Sum of TOTAL</t>
  </si>
  <si>
    <t>Row Labels</t>
  </si>
  <si>
    <t>(blank)</t>
  </si>
  <si>
    <t>Grand Total</t>
  </si>
  <si>
    <t>Column Labels</t>
  </si>
  <si>
    <t>1001-1300</t>
  </si>
  <si>
    <t>1301-1600</t>
  </si>
  <si>
    <t>1601-1900</t>
  </si>
  <si>
    <t>1901-2200</t>
  </si>
  <si>
    <t>2201-2500</t>
  </si>
  <si>
    <t>2501-2800</t>
  </si>
  <si>
    <t>2801-3100</t>
  </si>
  <si>
    <t>3101-3400</t>
  </si>
  <si>
    <t>3401-3700</t>
  </si>
  <si>
    <t>1st Rank</t>
  </si>
  <si>
    <t>2nd Rank</t>
  </si>
  <si>
    <t>3rd Rank</t>
  </si>
  <si>
    <t>4th Rank</t>
  </si>
  <si>
    <t>5th Rank</t>
  </si>
  <si>
    <t>Fail</t>
  </si>
  <si>
    <t>Pass</t>
  </si>
  <si>
    <t>Count of STATUS</t>
  </si>
  <si>
    <t xml:space="preserve">         STUDENTS STATUS ANALYSIS</t>
  </si>
  <si>
    <r>
      <t xml:space="preserve">                                           </t>
    </r>
    <r>
      <rPr>
        <b/>
        <sz val="24"/>
        <color rgb="FF002060"/>
        <rFont val="Calibri"/>
        <family val="2"/>
        <scheme val="minor"/>
      </rPr>
      <t>STUDENTS PERFORMANCE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</si>
</sst>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name val="Calibri"/>
      <family val="2"/>
      <scheme val="minor"/>
    </font>
    <font>
      <b/>
      <sz val="26"/>
      <color rgb="FFF5677B"/>
      <name val="Calibri"/>
      <family val="2"/>
      <scheme val="minor"/>
    </font>
    <font>
      <b/>
      <sz val="24"/>
      <color theme="1"/>
      <name val="Calibri"/>
      <family val="2"/>
      <scheme val="minor"/>
    </font>
    <font>
      <b/>
      <sz val="24"/>
      <color rgb="FF002060"/>
      <name val="Calibri"/>
      <family val="2"/>
      <scheme val="minor"/>
    </font>
  </fonts>
  <fills count="6">
    <fill>
      <patternFill patternType="none"/>
    </fill>
    <fill>
      <patternFill patternType="gray125"/>
    </fill>
    <fill>
      <patternFill patternType="solid">
        <fgColor theme="7"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B6F0F4"/>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22">
    <xf numFmtId="0" fontId="0" fillId="0" borderId="0" xfId="0"/>
    <xf numFmtId="0" fontId="0" fillId="0" borderId="1" xfId="0" applyBorder="1" applyAlignment="1">
      <alignment horizontal="center"/>
    </xf>
    <xf numFmtId="0" fontId="0" fillId="0" borderId="1" xfId="0" applyBorder="1"/>
    <xf numFmtId="1" fontId="0" fillId="0" borderId="1" xfId="0" applyNumberFormat="1" applyBorder="1"/>
    <xf numFmtId="0" fontId="0" fillId="0" borderId="0" xfId="0" applyBorder="1"/>
    <xf numFmtId="0" fontId="2" fillId="0" borderId="1" xfId="0" applyFont="1" applyBorder="1" applyAlignment="1">
      <alignment horizontal="center"/>
    </xf>
    <xf numFmtId="0" fontId="1" fillId="2" borderId="1" xfId="0" applyFont="1" applyFill="1" applyBorder="1" applyAlignment="1">
      <alignment horizontal="center"/>
    </xf>
    <xf numFmtId="0" fontId="0" fillId="3" borderId="1" xfId="0" applyFill="1" applyBorder="1" applyAlignment="1">
      <alignment horizontal="center"/>
    </xf>
    <xf numFmtId="0" fontId="0" fillId="0" borderId="0" xfId="0" applyFill="1" applyBorder="1"/>
    <xf numFmtId="1" fontId="0" fillId="0" borderId="0" xfId="0" applyNumberFormat="1" applyBorder="1"/>
    <xf numFmtId="1" fontId="0" fillId="0" borderId="0" xfId="0" applyNumberFormat="1" applyFill="1" applyBorder="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4" borderId="0" xfId="0" applyFill="1"/>
    <xf numFmtId="0" fontId="0" fillId="4" borderId="0" xfId="0" applyFill="1" applyAlignment="1">
      <alignment horizontal="center"/>
    </xf>
    <xf numFmtId="0" fontId="3" fillId="4" borderId="0" xfId="0" applyFont="1" applyFill="1" applyAlignment="1">
      <alignment horizontal="left"/>
    </xf>
    <xf numFmtId="0" fontId="0" fillId="5" borderId="0" xfId="0" applyFill="1" applyBorder="1" applyAlignment="1">
      <alignment horizontal="center"/>
    </xf>
    <xf numFmtId="0" fontId="4" fillId="5" borderId="0" xfId="0" applyFont="1" applyFill="1" applyBorder="1" applyAlignment="1">
      <alignment horizontal="center"/>
    </xf>
    <xf numFmtId="0" fontId="1" fillId="0" borderId="2" xfId="0" applyFont="1" applyBorder="1" applyAlignment="1">
      <alignment horizontal="center"/>
    </xf>
    <xf numFmtId="0" fontId="0" fillId="0" borderId="3" xfId="0" applyBorder="1"/>
  </cellXfs>
  <cellStyles count="1">
    <cellStyle name="Normal" xfId="0" builtinId="0"/>
  </cellStyles>
  <dxfs count="65">
    <dxf>
      <font>
        <color rgb="FF5826FA"/>
      </font>
      <fill>
        <patternFill>
          <bgColor theme="0"/>
        </patternFill>
      </fill>
    </dxf>
    <dxf>
      <font>
        <color rgb="FFDA32C6"/>
      </font>
      <fill>
        <patternFill>
          <bgColor theme="0"/>
        </patternFill>
      </fill>
    </dxf>
    <dxf>
      <font>
        <color rgb="FF9C0006"/>
      </font>
      <fill>
        <patternFill>
          <bgColor theme="0"/>
        </patternFill>
      </fill>
    </dxf>
    <dxf>
      <font>
        <color rgb="FFD1E012"/>
      </font>
      <fill>
        <patternFill>
          <bgColor theme="0"/>
        </patternFill>
      </fill>
    </dxf>
    <dxf>
      <font>
        <color rgb="FFF5677B"/>
      </font>
      <fill>
        <patternFill>
          <bgColor theme="0"/>
        </patternFill>
      </fill>
    </dxf>
    <dxf>
      <font>
        <color rgb="FF5458EE"/>
      </font>
      <fill>
        <patternFill>
          <bgColor rgb="FFFFC7CE"/>
        </patternFill>
      </fill>
    </dxf>
    <dxf>
      <font>
        <color rgb="FFDA32C6"/>
      </font>
      <fill>
        <patternFill>
          <bgColor theme="0"/>
        </patternFill>
      </fill>
    </dxf>
    <dxf>
      <font>
        <color rgb="FF379CF7"/>
      </font>
      <fill>
        <patternFill>
          <bgColor theme="0"/>
        </patternFill>
      </fill>
    </dxf>
    <dxf>
      <font>
        <color theme="4"/>
      </font>
      <fill>
        <patternFill>
          <bgColor theme="0"/>
        </patternFill>
      </fill>
    </dxf>
    <dxf>
      <font>
        <color theme="5"/>
      </font>
      <fill>
        <patternFill>
          <bgColor theme="0"/>
        </patternFill>
      </fill>
    </dxf>
    <dxf>
      <font>
        <color rgb="FF00B0F0"/>
      </font>
      <fill>
        <patternFill>
          <bgColor theme="0"/>
        </patternFill>
      </fill>
    </dxf>
    <dxf>
      <font>
        <color rgb="FF002060"/>
      </font>
      <fill>
        <patternFill>
          <bgColor theme="0"/>
        </patternFill>
      </fill>
    </dxf>
    <dxf>
      <font>
        <color rgb="FF9C0006"/>
      </font>
      <fill>
        <patternFill>
          <bgColor theme="7" tint="0.79998168889431442"/>
        </patternFill>
      </fill>
    </dxf>
    <dxf>
      <font>
        <color rgb="FF9C0006"/>
      </font>
      <fill>
        <patternFill>
          <bgColor theme="7" tint="0.79998168889431442"/>
        </patternFill>
      </fill>
    </dxf>
    <dxf>
      <font>
        <color rgb="FF9C0006"/>
      </font>
      <fill>
        <patternFill>
          <bgColor theme="7" tint="0.79998168889431442"/>
        </patternFill>
      </fill>
    </dxf>
    <dxf>
      <font>
        <color rgb="FF9C0006"/>
      </font>
      <fill>
        <patternFill>
          <bgColor theme="7" tint="0.79998168889431442"/>
        </patternFill>
      </fill>
    </dxf>
    <dxf>
      <font>
        <color rgb="FF9C0006"/>
      </font>
      <fill>
        <patternFill>
          <bgColor theme="7" tint="0.79998168889431442"/>
        </patternFill>
      </fill>
    </dxf>
    <dxf>
      <font>
        <color rgb="FF9C0006"/>
      </font>
      <fill>
        <patternFill>
          <bgColor theme="7" tint="0.79998168889431442"/>
        </patternFill>
      </fill>
    </dxf>
    <dxf>
      <font>
        <color rgb="FF9C0006"/>
      </font>
      <fill>
        <patternFill>
          <bgColor theme="7" tint="0.79998168889431442"/>
        </patternFill>
      </fill>
    </dxf>
    <dxf>
      <font>
        <color rgb="FF9C0006"/>
      </font>
      <fill>
        <patternFill>
          <bgColor theme="7" tint="0.79998168889431442"/>
        </patternFill>
      </fill>
    </dxf>
    <dxf>
      <font>
        <color rgb="FF9C0006"/>
      </font>
      <fill>
        <patternFill>
          <bgColor theme="7" tint="0.79998168889431442"/>
        </patternFill>
      </fill>
    </dxf>
    <dxf>
      <font>
        <color rgb="FF9C0006"/>
      </font>
      <fill>
        <patternFill>
          <bgColor theme="7" tint="0.79998168889431442"/>
        </patternFill>
      </fill>
    </dxf>
    <dxf>
      <font>
        <color rgb="FF9C0006"/>
      </font>
      <fill>
        <patternFill>
          <bgColor theme="7" tint="0.79998168889431442"/>
        </patternFill>
      </fill>
    </dxf>
    <dxf>
      <font>
        <color rgb="FF00B050"/>
      </font>
      <fill>
        <patternFill>
          <bgColor theme="0"/>
        </patternFill>
      </fill>
    </dxf>
    <dxf>
      <font>
        <color rgb="FFFF0000"/>
      </font>
      <fill>
        <patternFill>
          <bgColor theme="0"/>
        </patternFill>
      </fill>
    </dxf>
    <dxf>
      <font>
        <color rgb="FF00B0F0"/>
      </font>
      <fill>
        <patternFill>
          <bgColor theme="0"/>
        </patternFill>
      </fill>
    </dxf>
    <dxf>
      <font>
        <color theme="7" tint="0.39994506668294322"/>
      </font>
      <fill>
        <patternFill>
          <bgColor theme="0"/>
        </patternFill>
      </fill>
    </dxf>
    <dxf>
      <font>
        <color rgb="FF0070C0"/>
      </font>
      <fill>
        <patternFill>
          <bgColor theme="0"/>
        </patternFill>
      </fill>
    </dxf>
    <dxf>
      <font>
        <color rgb="FF9C0006"/>
      </font>
    </dxf>
    <dxf>
      <font>
        <color theme="1"/>
      </font>
      <fill>
        <patternFill>
          <bgColor theme="0"/>
        </patternFill>
      </fill>
    </dxf>
    <dxf>
      <font>
        <color rgb="FF7030A0"/>
      </font>
      <fill>
        <patternFill>
          <bgColor theme="0"/>
        </patternFill>
      </fill>
    </dxf>
    <dxf>
      <font>
        <color rgb="FF00B050"/>
      </font>
      <fill>
        <patternFill>
          <bgColor theme="0"/>
        </patternFill>
      </fill>
    </dxf>
    <dxf>
      <font>
        <color rgb="FF9C0006"/>
      </font>
    </dxf>
    <dxf>
      <font>
        <color rgb="FFDA32C6"/>
      </font>
      <fill>
        <patternFill>
          <bgColor theme="0"/>
        </patternFill>
      </fill>
    </dxf>
    <dxf>
      <font>
        <color rgb="FF9C0006"/>
      </font>
      <fill>
        <patternFill>
          <bgColor theme="0"/>
        </patternFill>
      </fill>
    </dxf>
    <dxf>
      <font>
        <color rgb="FFD1E012"/>
      </font>
      <fill>
        <patternFill>
          <bgColor theme="0"/>
        </patternFill>
      </fill>
    </dxf>
    <dxf>
      <font>
        <color rgb="FFF5677B"/>
      </font>
      <fill>
        <patternFill>
          <bgColor theme="0"/>
        </patternFill>
      </fill>
    </dxf>
    <dxf>
      <font>
        <color rgb="FF5458EE"/>
      </font>
      <fill>
        <patternFill>
          <bgColor rgb="FFFFC7CE"/>
        </patternFill>
      </fill>
    </dxf>
    <dxf>
      <font>
        <color rgb="FFDA32C6"/>
      </font>
      <fill>
        <patternFill>
          <bgColor theme="0"/>
        </patternFill>
      </fill>
    </dxf>
    <dxf>
      <font>
        <color rgb="FF379CF7"/>
      </font>
      <fill>
        <patternFill>
          <bgColor theme="0"/>
        </patternFill>
      </fill>
    </dxf>
    <dxf>
      <font>
        <color theme="4"/>
      </font>
      <fill>
        <patternFill>
          <bgColor theme="0"/>
        </patternFill>
      </fill>
    </dxf>
    <dxf>
      <font>
        <color theme="5"/>
      </font>
      <fill>
        <patternFill>
          <bgColor theme="0"/>
        </patternFill>
      </fill>
    </dxf>
    <dxf>
      <font>
        <color rgb="FF00B0F0"/>
      </font>
      <fill>
        <patternFill>
          <bgColor theme="0"/>
        </patternFill>
      </fill>
    </dxf>
    <dxf>
      <font>
        <color rgb="FF002060"/>
      </font>
      <fill>
        <patternFill>
          <bgColor theme="0"/>
        </patternFill>
      </fill>
    </dxf>
    <dxf>
      <font>
        <color rgb="FF9C0006"/>
      </font>
      <fill>
        <patternFill>
          <bgColor theme="7" tint="0.79998168889431442"/>
        </patternFill>
      </fill>
    </dxf>
    <dxf>
      <font>
        <color rgb="FF9C0006"/>
      </font>
      <fill>
        <patternFill>
          <bgColor theme="7" tint="0.79998168889431442"/>
        </patternFill>
      </fill>
    </dxf>
    <dxf>
      <font>
        <color rgb="FF9C0006"/>
      </font>
      <fill>
        <patternFill>
          <bgColor theme="7" tint="0.79998168889431442"/>
        </patternFill>
      </fill>
    </dxf>
    <dxf>
      <font>
        <color rgb="FF9C0006"/>
      </font>
      <fill>
        <patternFill>
          <bgColor theme="7" tint="0.79998168889431442"/>
        </patternFill>
      </fill>
    </dxf>
    <dxf>
      <font>
        <color rgb="FF9C0006"/>
      </font>
      <fill>
        <patternFill>
          <bgColor theme="7" tint="0.79998168889431442"/>
        </patternFill>
      </fill>
    </dxf>
    <dxf>
      <font>
        <color rgb="FF9C0006"/>
      </font>
      <fill>
        <patternFill>
          <bgColor theme="7" tint="0.79998168889431442"/>
        </patternFill>
      </fill>
    </dxf>
    <dxf>
      <font>
        <color rgb="FF9C0006"/>
      </font>
      <fill>
        <patternFill>
          <bgColor theme="7" tint="0.79998168889431442"/>
        </patternFill>
      </fill>
    </dxf>
    <dxf>
      <font>
        <color rgb="FF9C0006"/>
      </font>
      <fill>
        <patternFill>
          <bgColor theme="7" tint="0.79998168889431442"/>
        </patternFill>
      </fill>
    </dxf>
    <dxf>
      <font>
        <color rgb="FF9C0006"/>
      </font>
      <fill>
        <patternFill>
          <bgColor theme="7" tint="0.79998168889431442"/>
        </patternFill>
      </fill>
    </dxf>
    <dxf>
      <font>
        <color rgb="FF9C0006"/>
      </font>
      <fill>
        <patternFill>
          <bgColor theme="7" tint="0.79998168889431442"/>
        </patternFill>
      </fill>
    </dxf>
    <dxf>
      <font>
        <color rgb="FF9C0006"/>
      </font>
      <fill>
        <patternFill>
          <bgColor theme="7" tint="0.79998168889431442"/>
        </patternFill>
      </fill>
    </dxf>
    <dxf>
      <font>
        <color rgb="FF7030A0"/>
      </font>
      <fill>
        <patternFill>
          <bgColor theme="0"/>
        </patternFill>
      </fill>
    </dxf>
    <dxf>
      <font>
        <color rgb="FF00B050"/>
      </font>
      <fill>
        <patternFill>
          <bgColor theme="0"/>
        </patternFill>
      </fill>
    </dxf>
    <dxf>
      <font>
        <color rgb="FFFF0000"/>
      </font>
      <fill>
        <patternFill>
          <bgColor theme="0"/>
        </patternFill>
      </fill>
    </dxf>
    <dxf>
      <font>
        <color rgb="FF00B0F0"/>
      </font>
      <fill>
        <patternFill>
          <bgColor theme="0"/>
        </patternFill>
      </fill>
    </dxf>
    <dxf>
      <font>
        <color theme="7" tint="0.39994506668294322"/>
      </font>
      <fill>
        <patternFill>
          <bgColor theme="0"/>
        </patternFill>
      </fill>
    </dxf>
    <dxf>
      <font>
        <color rgb="FF0070C0"/>
      </font>
      <fill>
        <patternFill>
          <bgColor theme="0"/>
        </patternFill>
      </fill>
    </dxf>
    <dxf>
      <font>
        <color rgb="FF9C0006"/>
      </font>
    </dxf>
    <dxf>
      <font>
        <color theme="1"/>
      </font>
      <fill>
        <patternFill>
          <bgColor theme="0"/>
        </patternFill>
      </fill>
    </dxf>
    <dxf>
      <font>
        <color rgb="FF00B050"/>
      </font>
      <fill>
        <patternFill>
          <bgColor theme="0"/>
        </patternFill>
      </fill>
    </dxf>
    <dxf>
      <font>
        <color rgb="FF9C0006"/>
      </font>
    </dxf>
  </dxfs>
  <tableStyles count="0" defaultTableStyle="TableStyleMedium2" defaultPivotStyle="PivotStyleLight16"/>
  <colors>
    <mruColors>
      <color rgb="FFB6F0F4"/>
      <color rgb="FFFC9EFC"/>
      <color rgb="FFFF9BDE"/>
      <color rgb="FF5826FA"/>
      <color rgb="FFDA32C6"/>
      <color rgb="FFF5677B"/>
      <color rgb="FF379CF7"/>
      <color rgb="FF5458EE"/>
      <color rgb="FFD1E0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B050"/>
                </a:solidFill>
              </a:rPr>
              <a:t>Total</a:t>
            </a:r>
            <a:r>
              <a:rPr lang="en-IN" b="1" baseline="0">
                <a:solidFill>
                  <a:srgbClr val="00B050"/>
                </a:solidFill>
              </a:rPr>
              <a:t> Marks</a:t>
            </a:r>
            <a:endParaRPr lang="en-IN" b="1">
              <a:solidFill>
                <a:srgbClr val="00B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Table-1'!$B$3:$B$4</c:f>
              <c:strCache>
                <c:ptCount val="1"/>
                <c:pt idx="0">
                  <c:v>Female</c:v>
                </c:pt>
              </c:strCache>
            </c:strRef>
          </c:tx>
          <c:spPr>
            <a:solidFill>
              <a:schemeClr val="accent1"/>
            </a:solidFill>
            <a:ln>
              <a:noFill/>
            </a:ln>
            <a:effectLst/>
          </c:spPr>
          <c:invertIfNegative val="0"/>
          <c:cat>
            <c:multiLvlStrRef>
              <c:f>'Pivot Table-1'!$A$5:$A$151</c:f>
              <c:multiLvlStrCache>
                <c:ptCount val="136"/>
                <c:lvl>
                  <c:pt idx="0">
                    <c:v>(blank)</c:v>
                  </c:pt>
                  <c:pt idx="1">
                    <c:v>Aakash</c:v>
                  </c:pt>
                  <c:pt idx="2">
                    <c:v>Addison</c:v>
                  </c:pt>
                  <c:pt idx="3">
                    <c:v>Adrian</c:v>
                  </c:pt>
                  <c:pt idx="4">
                    <c:v>Ajay</c:v>
                  </c:pt>
                  <c:pt idx="5">
                    <c:v>Amith</c:v>
                  </c:pt>
                  <c:pt idx="6">
                    <c:v>Ardian</c:v>
                  </c:pt>
                  <c:pt idx="7">
                    <c:v>Arjun</c:v>
                  </c:pt>
                  <c:pt idx="8">
                    <c:v>Ashok</c:v>
                  </c:pt>
                  <c:pt idx="9">
                    <c:v>Bella</c:v>
                  </c:pt>
                  <c:pt idx="10">
                    <c:v>Devid</c:v>
                  </c:pt>
                  <c:pt idx="11">
                    <c:v>Ellie</c:v>
                  </c:pt>
                  <c:pt idx="12">
                    <c:v>Emma</c:v>
                  </c:pt>
                  <c:pt idx="13">
                    <c:v>Evan</c:v>
                  </c:pt>
                  <c:pt idx="14">
                    <c:v>Gabriella</c:v>
                  </c:pt>
                  <c:pt idx="15">
                    <c:v>Hailey</c:v>
                  </c:pt>
                  <c:pt idx="16">
                    <c:v>Hunter</c:v>
                  </c:pt>
                  <c:pt idx="17">
                    <c:v>Jason</c:v>
                  </c:pt>
                  <c:pt idx="18">
                    <c:v>John</c:v>
                  </c:pt>
                  <c:pt idx="19">
                    <c:v>Jordan</c:v>
                  </c:pt>
                  <c:pt idx="20">
                    <c:v>Joseph</c:v>
                  </c:pt>
                  <c:pt idx="21">
                    <c:v>Kaveri</c:v>
                  </c:pt>
                  <c:pt idx="22">
                    <c:v>Kiyara</c:v>
                  </c:pt>
                  <c:pt idx="23">
                    <c:v>Krithi</c:v>
                  </c:pt>
                  <c:pt idx="24">
                    <c:v>Luna</c:v>
                  </c:pt>
                  <c:pt idx="25">
                    <c:v>Mia</c:v>
                  </c:pt>
                  <c:pt idx="26">
                    <c:v>Natalie</c:v>
                  </c:pt>
                  <c:pt idx="27">
                    <c:v>Samantha</c:v>
                  </c:pt>
                  <c:pt idx="28">
                    <c:v>Sean</c:v>
                  </c:pt>
                  <c:pt idx="29">
                    <c:v>Smitha</c:v>
                  </c:pt>
                  <c:pt idx="30">
                    <c:v>Sreedhar</c:v>
                  </c:pt>
                  <c:pt idx="31">
                    <c:v>Srija</c:v>
                  </c:pt>
                  <c:pt idx="32">
                    <c:v>Srinu</c:v>
                  </c:pt>
                  <c:pt idx="33">
                    <c:v>Sudheer</c:v>
                  </c:pt>
                  <c:pt idx="34">
                    <c:v>Taylore</c:v>
                  </c:pt>
                  <c:pt idx="35">
                    <c:v>Tina</c:v>
                  </c:pt>
                  <c:pt idx="36">
                    <c:v>Trevor</c:v>
                  </c:pt>
                  <c:pt idx="37">
                    <c:v>Aaron</c:v>
                  </c:pt>
                  <c:pt idx="38">
                    <c:v>Albert</c:v>
                  </c:pt>
                  <c:pt idx="39">
                    <c:v>Anshu</c:v>
                  </c:pt>
                  <c:pt idx="40">
                    <c:v>Ashok</c:v>
                  </c:pt>
                  <c:pt idx="41">
                    <c:v>Bharath</c:v>
                  </c:pt>
                  <c:pt idx="42">
                    <c:v>Claire</c:v>
                  </c:pt>
                  <c:pt idx="43">
                    <c:v>Daisy</c:v>
                  </c:pt>
                  <c:pt idx="44">
                    <c:v>Devid</c:v>
                  </c:pt>
                  <c:pt idx="45">
                    <c:v>Eligibeth</c:v>
                  </c:pt>
                  <c:pt idx="46">
                    <c:v>Ellie</c:v>
                  </c:pt>
                  <c:pt idx="47">
                    <c:v>Emma</c:v>
                  </c:pt>
                  <c:pt idx="48">
                    <c:v>Jade</c:v>
                  </c:pt>
                  <c:pt idx="49">
                    <c:v>Kayla</c:v>
                  </c:pt>
                  <c:pt idx="50">
                    <c:v>Krithi</c:v>
                  </c:pt>
                  <c:pt idx="51">
                    <c:v>Lillian</c:v>
                  </c:pt>
                  <c:pt idx="52">
                    <c:v>Mia</c:v>
                  </c:pt>
                  <c:pt idx="53">
                    <c:v>Paisley</c:v>
                  </c:pt>
                  <c:pt idx="54">
                    <c:v>Parker</c:v>
                  </c:pt>
                  <c:pt idx="55">
                    <c:v>Sameera</c:v>
                  </c:pt>
                  <c:pt idx="56">
                    <c:v>Sean</c:v>
                  </c:pt>
                  <c:pt idx="57">
                    <c:v>Smitha</c:v>
                  </c:pt>
                  <c:pt idx="58">
                    <c:v>Sophiya</c:v>
                  </c:pt>
                  <c:pt idx="59">
                    <c:v>Sreeja</c:v>
                  </c:pt>
                  <c:pt idx="60">
                    <c:v>Sritha</c:v>
                  </c:pt>
                  <c:pt idx="61">
                    <c:v>Amith</c:v>
                  </c:pt>
                  <c:pt idx="62">
                    <c:v>Arjun</c:v>
                  </c:pt>
                  <c:pt idx="63">
                    <c:v>Ashok</c:v>
                  </c:pt>
                  <c:pt idx="64">
                    <c:v>Camila</c:v>
                  </c:pt>
                  <c:pt idx="65">
                    <c:v>Devid</c:v>
                  </c:pt>
                  <c:pt idx="66">
                    <c:v>Eligibeth</c:v>
                  </c:pt>
                  <c:pt idx="67">
                    <c:v>Everly</c:v>
                  </c:pt>
                  <c:pt idx="68">
                    <c:v>Hailey</c:v>
                  </c:pt>
                  <c:pt idx="69">
                    <c:v>Joseph</c:v>
                  </c:pt>
                  <c:pt idx="70">
                    <c:v>Krish</c:v>
                  </c:pt>
                  <c:pt idx="71">
                    <c:v>Ram</c:v>
                  </c:pt>
                  <c:pt idx="72">
                    <c:v>Sharadha</c:v>
                  </c:pt>
                  <c:pt idx="73">
                    <c:v>Sohel</c:v>
                  </c:pt>
                  <c:pt idx="74">
                    <c:v>Srinu</c:v>
                  </c:pt>
                  <c:pt idx="75">
                    <c:v>Susmitha</c:v>
                  </c:pt>
                  <c:pt idx="76">
                    <c:v>Aaron</c:v>
                  </c:pt>
                  <c:pt idx="77">
                    <c:v>Abhishek</c:v>
                  </c:pt>
                  <c:pt idx="78">
                    <c:v>Ajith</c:v>
                  </c:pt>
                  <c:pt idx="79">
                    <c:v>Amith</c:v>
                  </c:pt>
                  <c:pt idx="80">
                    <c:v>Amrith</c:v>
                  </c:pt>
                  <c:pt idx="81">
                    <c:v>Bharath</c:v>
                  </c:pt>
                  <c:pt idx="82">
                    <c:v>Eligibeth</c:v>
                  </c:pt>
                  <c:pt idx="83">
                    <c:v>Emma</c:v>
                  </c:pt>
                  <c:pt idx="84">
                    <c:v>Jason</c:v>
                  </c:pt>
                  <c:pt idx="85">
                    <c:v>Kaml</c:v>
                  </c:pt>
                  <c:pt idx="86">
                    <c:v>Kiran</c:v>
                  </c:pt>
                  <c:pt idx="87">
                    <c:v>Kiyara</c:v>
                  </c:pt>
                  <c:pt idx="88">
                    <c:v>Kyle</c:v>
                  </c:pt>
                  <c:pt idx="89">
                    <c:v>Lucas</c:v>
                  </c:pt>
                  <c:pt idx="90">
                    <c:v>Luna</c:v>
                  </c:pt>
                  <c:pt idx="91">
                    <c:v>Mano</c:v>
                  </c:pt>
                  <c:pt idx="92">
                    <c:v>Mia</c:v>
                  </c:pt>
                  <c:pt idx="93">
                    <c:v>Sahasra</c:v>
                  </c:pt>
                  <c:pt idx="94">
                    <c:v>Sekhar</c:v>
                  </c:pt>
                  <c:pt idx="95">
                    <c:v>Smitha</c:v>
                  </c:pt>
                  <c:pt idx="96">
                    <c:v>Sneha</c:v>
                  </c:pt>
                  <c:pt idx="97">
                    <c:v>Srasti</c:v>
                  </c:pt>
                  <c:pt idx="98">
                    <c:v>Sreedhar</c:v>
                  </c:pt>
                  <c:pt idx="99">
                    <c:v>Sudheer</c:v>
                  </c:pt>
                  <c:pt idx="100">
                    <c:v>Taylore</c:v>
                  </c:pt>
                  <c:pt idx="101">
                    <c:v>Tina</c:v>
                  </c:pt>
                  <c:pt idx="102">
                    <c:v>Ava</c:v>
                  </c:pt>
                  <c:pt idx="103">
                    <c:v>Devid</c:v>
                  </c:pt>
                  <c:pt idx="104">
                    <c:v>Emma</c:v>
                  </c:pt>
                  <c:pt idx="105">
                    <c:v>Isaac</c:v>
                  </c:pt>
                  <c:pt idx="106">
                    <c:v>John</c:v>
                  </c:pt>
                  <c:pt idx="107">
                    <c:v>Shuhas</c:v>
                  </c:pt>
                  <c:pt idx="108">
                    <c:v>Smitha</c:v>
                  </c:pt>
                  <c:pt idx="109">
                    <c:v>Arjun</c:v>
                  </c:pt>
                  <c:pt idx="110">
                    <c:v>Chloe</c:v>
                  </c:pt>
                  <c:pt idx="111">
                    <c:v>Jordan</c:v>
                  </c:pt>
                  <c:pt idx="112">
                    <c:v>Kiyara</c:v>
                  </c:pt>
                  <c:pt idx="113">
                    <c:v>Susma</c:v>
                  </c:pt>
                  <c:pt idx="114">
                    <c:v>Taylore</c:v>
                  </c:pt>
                  <c:pt idx="115">
                    <c:v>Anirudh</c:v>
                  </c:pt>
                  <c:pt idx="116">
                    <c:v>Anshu</c:v>
                  </c:pt>
                  <c:pt idx="117">
                    <c:v>Anurag</c:v>
                  </c:pt>
                  <c:pt idx="118">
                    <c:v>Bhagya</c:v>
                  </c:pt>
                  <c:pt idx="119">
                    <c:v>Bharani</c:v>
                  </c:pt>
                  <c:pt idx="120">
                    <c:v>Gokul</c:v>
                  </c:pt>
                  <c:pt idx="121">
                    <c:v>Krishna</c:v>
                  </c:pt>
                  <c:pt idx="122">
                    <c:v>Smitha</c:v>
                  </c:pt>
                  <c:pt idx="123">
                    <c:v>Sohel</c:v>
                  </c:pt>
                  <c:pt idx="124">
                    <c:v>Suman </c:v>
                  </c:pt>
                  <c:pt idx="125">
                    <c:v>Sumanth</c:v>
                  </c:pt>
                  <c:pt idx="126">
                    <c:v>Susuila</c:v>
                  </c:pt>
                  <c:pt idx="127">
                    <c:v>Thanuja</c:v>
                  </c:pt>
                  <c:pt idx="128">
                    <c:v>Balaji</c:v>
                  </c:pt>
                  <c:pt idx="129">
                    <c:v>Bhargav</c:v>
                  </c:pt>
                  <c:pt idx="130">
                    <c:v>Bindhu</c:v>
                  </c:pt>
                  <c:pt idx="131">
                    <c:v>Hema</c:v>
                  </c:pt>
                  <c:pt idx="132">
                    <c:v>Hemanth</c:v>
                  </c:pt>
                  <c:pt idx="133">
                    <c:v>Lavanya</c:v>
                  </c:pt>
                  <c:pt idx="134">
                    <c:v>Nag</c:v>
                  </c:pt>
                  <c:pt idx="135">
                    <c:v>Chaithanya</c:v>
                  </c:pt>
                </c:lvl>
                <c:lvl>
                  <c:pt idx="0">
                    <c:v>(blank)</c:v>
                  </c:pt>
                  <c:pt idx="1">
                    <c:v>1001-1300</c:v>
                  </c:pt>
                  <c:pt idx="37">
                    <c:v>1301-1600</c:v>
                  </c:pt>
                  <c:pt idx="61">
                    <c:v>1601-1900</c:v>
                  </c:pt>
                  <c:pt idx="76">
                    <c:v>1901-2200</c:v>
                  </c:pt>
                  <c:pt idx="102">
                    <c:v>2201-2500</c:v>
                  </c:pt>
                  <c:pt idx="109">
                    <c:v>2501-2800</c:v>
                  </c:pt>
                  <c:pt idx="115">
                    <c:v>2801-3100</c:v>
                  </c:pt>
                  <c:pt idx="128">
                    <c:v>3101-3400</c:v>
                  </c:pt>
                  <c:pt idx="135">
                    <c:v>3401-3700</c:v>
                  </c:pt>
                </c:lvl>
              </c:multiLvlStrCache>
            </c:multiLvlStrRef>
          </c:cat>
          <c:val>
            <c:numRef>
              <c:f>'Pivot Table-1'!$B$5:$B$151</c:f>
              <c:numCache>
                <c:formatCode>General</c:formatCode>
                <c:ptCount val="136"/>
                <c:pt idx="9">
                  <c:v>139</c:v>
                </c:pt>
                <c:pt idx="11">
                  <c:v>94</c:v>
                </c:pt>
                <c:pt idx="12">
                  <c:v>155</c:v>
                </c:pt>
                <c:pt idx="14">
                  <c:v>132</c:v>
                </c:pt>
                <c:pt idx="21">
                  <c:v>98</c:v>
                </c:pt>
                <c:pt idx="22">
                  <c:v>286</c:v>
                </c:pt>
                <c:pt idx="23">
                  <c:v>148</c:v>
                </c:pt>
                <c:pt idx="24">
                  <c:v>127</c:v>
                </c:pt>
                <c:pt idx="25">
                  <c:v>174</c:v>
                </c:pt>
                <c:pt idx="27">
                  <c:v>243</c:v>
                </c:pt>
                <c:pt idx="29">
                  <c:v>154</c:v>
                </c:pt>
                <c:pt idx="31">
                  <c:v>182</c:v>
                </c:pt>
                <c:pt idx="35">
                  <c:v>243</c:v>
                </c:pt>
                <c:pt idx="39">
                  <c:v>91</c:v>
                </c:pt>
                <c:pt idx="42">
                  <c:v>177</c:v>
                </c:pt>
                <c:pt idx="43">
                  <c:v>106</c:v>
                </c:pt>
                <c:pt idx="45">
                  <c:v>210</c:v>
                </c:pt>
                <c:pt idx="46">
                  <c:v>107</c:v>
                </c:pt>
                <c:pt idx="47">
                  <c:v>113</c:v>
                </c:pt>
                <c:pt idx="49">
                  <c:v>143</c:v>
                </c:pt>
                <c:pt idx="50">
                  <c:v>135</c:v>
                </c:pt>
                <c:pt idx="51">
                  <c:v>145</c:v>
                </c:pt>
                <c:pt idx="52">
                  <c:v>48</c:v>
                </c:pt>
                <c:pt idx="55">
                  <c:v>91</c:v>
                </c:pt>
                <c:pt idx="57">
                  <c:v>98</c:v>
                </c:pt>
                <c:pt idx="58">
                  <c:v>97</c:v>
                </c:pt>
                <c:pt idx="59">
                  <c:v>134</c:v>
                </c:pt>
                <c:pt idx="60">
                  <c:v>123</c:v>
                </c:pt>
                <c:pt idx="64">
                  <c:v>142</c:v>
                </c:pt>
                <c:pt idx="66">
                  <c:v>99</c:v>
                </c:pt>
                <c:pt idx="67">
                  <c:v>85</c:v>
                </c:pt>
                <c:pt idx="72">
                  <c:v>135</c:v>
                </c:pt>
                <c:pt idx="75">
                  <c:v>68</c:v>
                </c:pt>
                <c:pt idx="82">
                  <c:v>130</c:v>
                </c:pt>
                <c:pt idx="83">
                  <c:v>94</c:v>
                </c:pt>
                <c:pt idx="87">
                  <c:v>337</c:v>
                </c:pt>
                <c:pt idx="88">
                  <c:v>120</c:v>
                </c:pt>
                <c:pt idx="90">
                  <c:v>259</c:v>
                </c:pt>
                <c:pt idx="91">
                  <c:v>173</c:v>
                </c:pt>
                <c:pt idx="92">
                  <c:v>143</c:v>
                </c:pt>
                <c:pt idx="93">
                  <c:v>139</c:v>
                </c:pt>
                <c:pt idx="95">
                  <c:v>67</c:v>
                </c:pt>
                <c:pt idx="96">
                  <c:v>154</c:v>
                </c:pt>
                <c:pt idx="97">
                  <c:v>155</c:v>
                </c:pt>
                <c:pt idx="100">
                  <c:v>143</c:v>
                </c:pt>
                <c:pt idx="101">
                  <c:v>70</c:v>
                </c:pt>
                <c:pt idx="102">
                  <c:v>103</c:v>
                </c:pt>
                <c:pt idx="104">
                  <c:v>131</c:v>
                </c:pt>
                <c:pt idx="105">
                  <c:v>144</c:v>
                </c:pt>
                <c:pt idx="108">
                  <c:v>113</c:v>
                </c:pt>
                <c:pt idx="110">
                  <c:v>55</c:v>
                </c:pt>
                <c:pt idx="112">
                  <c:v>85</c:v>
                </c:pt>
                <c:pt idx="113">
                  <c:v>105</c:v>
                </c:pt>
                <c:pt idx="116">
                  <c:v>110</c:v>
                </c:pt>
                <c:pt idx="118">
                  <c:v>86</c:v>
                </c:pt>
                <c:pt idx="122">
                  <c:v>141</c:v>
                </c:pt>
                <c:pt idx="126">
                  <c:v>80</c:v>
                </c:pt>
                <c:pt idx="127">
                  <c:v>116</c:v>
                </c:pt>
                <c:pt idx="130">
                  <c:v>146</c:v>
                </c:pt>
                <c:pt idx="131">
                  <c:v>125</c:v>
                </c:pt>
                <c:pt idx="133">
                  <c:v>124</c:v>
                </c:pt>
              </c:numCache>
            </c:numRef>
          </c:val>
          <c:extLst>
            <c:ext xmlns:c16="http://schemas.microsoft.com/office/drawing/2014/chart" uri="{C3380CC4-5D6E-409C-BE32-E72D297353CC}">
              <c16:uniqueId val="{00000000-536F-476D-AB73-1058ACD73450}"/>
            </c:ext>
          </c:extLst>
        </c:ser>
        <c:ser>
          <c:idx val="1"/>
          <c:order val="1"/>
          <c:tx>
            <c:strRef>
              <c:f>'Pivot Table-1'!$C$3:$C$4</c:f>
              <c:strCache>
                <c:ptCount val="1"/>
                <c:pt idx="0">
                  <c:v>Male</c:v>
                </c:pt>
              </c:strCache>
            </c:strRef>
          </c:tx>
          <c:spPr>
            <a:solidFill>
              <a:schemeClr val="accent2"/>
            </a:solidFill>
            <a:ln>
              <a:noFill/>
            </a:ln>
            <a:effectLst/>
          </c:spPr>
          <c:invertIfNegative val="0"/>
          <c:cat>
            <c:multiLvlStrRef>
              <c:f>'Pivot Table-1'!$A$5:$A$151</c:f>
              <c:multiLvlStrCache>
                <c:ptCount val="136"/>
                <c:lvl>
                  <c:pt idx="0">
                    <c:v>(blank)</c:v>
                  </c:pt>
                  <c:pt idx="1">
                    <c:v>Aakash</c:v>
                  </c:pt>
                  <c:pt idx="2">
                    <c:v>Addison</c:v>
                  </c:pt>
                  <c:pt idx="3">
                    <c:v>Adrian</c:v>
                  </c:pt>
                  <c:pt idx="4">
                    <c:v>Ajay</c:v>
                  </c:pt>
                  <c:pt idx="5">
                    <c:v>Amith</c:v>
                  </c:pt>
                  <c:pt idx="6">
                    <c:v>Ardian</c:v>
                  </c:pt>
                  <c:pt idx="7">
                    <c:v>Arjun</c:v>
                  </c:pt>
                  <c:pt idx="8">
                    <c:v>Ashok</c:v>
                  </c:pt>
                  <c:pt idx="9">
                    <c:v>Bella</c:v>
                  </c:pt>
                  <c:pt idx="10">
                    <c:v>Devid</c:v>
                  </c:pt>
                  <c:pt idx="11">
                    <c:v>Ellie</c:v>
                  </c:pt>
                  <c:pt idx="12">
                    <c:v>Emma</c:v>
                  </c:pt>
                  <c:pt idx="13">
                    <c:v>Evan</c:v>
                  </c:pt>
                  <c:pt idx="14">
                    <c:v>Gabriella</c:v>
                  </c:pt>
                  <c:pt idx="15">
                    <c:v>Hailey</c:v>
                  </c:pt>
                  <c:pt idx="16">
                    <c:v>Hunter</c:v>
                  </c:pt>
                  <c:pt idx="17">
                    <c:v>Jason</c:v>
                  </c:pt>
                  <c:pt idx="18">
                    <c:v>John</c:v>
                  </c:pt>
                  <c:pt idx="19">
                    <c:v>Jordan</c:v>
                  </c:pt>
                  <c:pt idx="20">
                    <c:v>Joseph</c:v>
                  </c:pt>
                  <c:pt idx="21">
                    <c:v>Kaveri</c:v>
                  </c:pt>
                  <c:pt idx="22">
                    <c:v>Kiyara</c:v>
                  </c:pt>
                  <c:pt idx="23">
                    <c:v>Krithi</c:v>
                  </c:pt>
                  <c:pt idx="24">
                    <c:v>Luna</c:v>
                  </c:pt>
                  <c:pt idx="25">
                    <c:v>Mia</c:v>
                  </c:pt>
                  <c:pt idx="26">
                    <c:v>Natalie</c:v>
                  </c:pt>
                  <c:pt idx="27">
                    <c:v>Samantha</c:v>
                  </c:pt>
                  <c:pt idx="28">
                    <c:v>Sean</c:v>
                  </c:pt>
                  <c:pt idx="29">
                    <c:v>Smitha</c:v>
                  </c:pt>
                  <c:pt idx="30">
                    <c:v>Sreedhar</c:v>
                  </c:pt>
                  <c:pt idx="31">
                    <c:v>Srija</c:v>
                  </c:pt>
                  <c:pt idx="32">
                    <c:v>Srinu</c:v>
                  </c:pt>
                  <c:pt idx="33">
                    <c:v>Sudheer</c:v>
                  </c:pt>
                  <c:pt idx="34">
                    <c:v>Taylore</c:v>
                  </c:pt>
                  <c:pt idx="35">
                    <c:v>Tina</c:v>
                  </c:pt>
                  <c:pt idx="36">
                    <c:v>Trevor</c:v>
                  </c:pt>
                  <c:pt idx="37">
                    <c:v>Aaron</c:v>
                  </c:pt>
                  <c:pt idx="38">
                    <c:v>Albert</c:v>
                  </c:pt>
                  <c:pt idx="39">
                    <c:v>Anshu</c:v>
                  </c:pt>
                  <c:pt idx="40">
                    <c:v>Ashok</c:v>
                  </c:pt>
                  <c:pt idx="41">
                    <c:v>Bharath</c:v>
                  </c:pt>
                  <c:pt idx="42">
                    <c:v>Claire</c:v>
                  </c:pt>
                  <c:pt idx="43">
                    <c:v>Daisy</c:v>
                  </c:pt>
                  <c:pt idx="44">
                    <c:v>Devid</c:v>
                  </c:pt>
                  <c:pt idx="45">
                    <c:v>Eligibeth</c:v>
                  </c:pt>
                  <c:pt idx="46">
                    <c:v>Ellie</c:v>
                  </c:pt>
                  <c:pt idx="47">
                    <c:v>Emma</c:v>
                  </c:pt>
                  <c:pt idx="48">
                    <c:v>Jade</c:v>
                  </c:pt>
                  <c:pt idx="49">
                    <c:v>Kayla</c:v>
                  </c:pt>
                  <c:pt idx="50">
                    <c:v>Krithi</c:v>
                  </c:pt>
                  <c:pt idx="51">
                    <c:v>Lillian</c:v>
                  </c:pt>
                  <c:pt idx="52">
                    <c:v>Mia</c:v>
                  </c:pt>
                  <c:pt idx="53">
                    <c:v>Paisley</c:v>
                  </c:pt>
                  <c:pt idx="54">
                    <c:v>Parker</c:v>
                  </c:pt>
                  <c:pt idx="55">
                    <c:v>Sameera</c:v>
                  </c:pt>
                  <c:pt idx="56">
                    <c:v>Sean</c:v>
                  </c:pt>
                  <c:pt idx="57">
                    <c:v>Smitha</c:v>
                  </c:pt>
                  <c:pt idx="58">
                    <c:v>Sophiya</c:v>
                  </c:pt>
                  <c:pt idx="59">
                    <c:v>Sreeja</c:v>
                  </c:pt>
                  <c:pt idx="60">
                    <c:v>Sritha</c:v>
                  </c:pt>
                  <c:pt idx="61">
                    <c:v>Amith</c:v>
                  </c:pt>
                  <c:pt idx="62">
                    <c:v>Arjun</c:v>
                  </c:pt>
                  <c:pt idx="63">
                    <c:v>Ashok</c:v>
                  </c:pt>
                  <c:pt idx="64">
                    <c:v>Camila</c:v>
                  </c:pt>
                  <c:pt idx="65">
                    <c:v>Devid</c:v>
                  </c:pt>
                  <c:pt idx="66">
                    <c:v>Eligibeth</c:v>
                  </c:pt>
                  <c:pt idx="67">
                    <c:v>Everly</c:v>
                  </c:pt>
                  <c:pt idx="68">
                    <c:v>Hailey</c:v>
                  </c:pt>
                  <c:pt idx="69">
                    <c:v>Joseph</c:v>
                  </c:pt>
                  <c:pt idx="70">
                    <c:v>Krish</c:v>
                  </c:pt>
                  <c:pt idx="71">
                    <c:v>Ram</c:v>
                  </c:pt>
                  <c:pt idx="72">
                    <c:v>Sharadha</c:v>
                  </c:pt>
                  <c:pt idx="73">
                    <c:v>Sohel</c:v>
                  </c:pt>
                  <c:pt idx="74">
                    <c:v>Srinu</c:v>
                  </c:pt>
                  <c:pt idx="75">
                    <c:v>Susmitha</c:v>
                  </c:pt>
                  <c:pt idx="76">
                    <c:v>Aaron</c:v>
                  </c:pt>
                  <c:pt idx="77">
                    <c:v>Abhishek</c:v>
                  </c:pt>
                  <c:pt idx="78">
                    <c:v>Ajith</c:v>
                  </c:pt>
                  <c:pt idx="79">
                    <c:v>Amith</c:v>
                  </c:pt>
                  <c:pt idx="80">
                    <c:v>Amrith</c:v>
                  </c:pt>
                  <c:pt idx="81">
                    <c:v>Bharath</c:v>
                  </c:pt>
                  <c:pt idx="82">
                    <c:v>Eligibeth</c:v>
                  </c:pt>
                  <c:pt idx="83">
                    <c:v>Emma</c:v>
                  </c:pt>
                  <c:pt idx="84">
                    <c:v>Jason</c:v>
                  </c:pt>
                  <c:pt idx="85">
                    <c:v>Kaml</c:v>
                  </c:pt>
                  <c:pt idx="86">
                    <c:v>Kiran</c:v>
                  </c:pt>
                  <c:pt idx="87">
                    <c:v>Kiyara</c:v>
                  </c:pt>
                  <c:pt idx="88">
                    <c:v>Kyle</c:v>
                  </c:pt>
                  <c:pt idx="89">
                    <c:v>Lucas</c:v>
                  </c:pt>
                  <c:pt idx="90">
                    <c:v>Luna</c:v>
                  </c:pt>
                  <c:pt idx="91">
                    <c:v>Mano</c:v>
                  </c:pt>
                  <c:pt idx="92">
                    <c:v>Mia</c:v>
                  </c:pt>
                  <c:pt idx="93">
                    <c:v>Sahasra</c:v>
                  </c:pt>
                  <c:pt idx="94">
                    <c:v>Sekhar</c:v>
                  </c:pt>
                  <c:pt idx="95">
                    <c:v>Smitha</c:v>
                  </c:pt>
                  <c:pt idx="96">
                    <c:v>Sneha</c:v>
                  </c:pt>
                  <c:pt idx="97">
                    <c:v>Srasti</c:v>
                  </c:pt>
                  <c:pt idx="98">
                    <c:v>Sreedhar</c:v>
                  </c:pt>
                  <c:pt idx="99">
                    <c:v>Sudheer</c:v>
                  </c:pt>
                  <c:pt idx="100">
                    <c:v>Taylore</c:v>
                  </c:pt>
                  <c:pt idx="101">
                    <c:v>Tina</c:v>
                  </c:pt>
                  <c:pt idx="102">
                    <c:v>Ava</c:v>
                  </c:pt>
                  <c:pt idx="103">
                    <c:v>Devid</c:v>
                  </c:pt>
                  <c:pt idx="104">
                    <c:v>Emma</c:v>
                  </c:pt>
                  <c:pt idx="105">
                    <c:v>Isaac</c:v>
                  </c:pt>
                  <c:pt idx="106">
                    <c:v>John</c:v>
                  </c:pt>
                  <c:pt idx="107">
                    <c:v>Shuhas</c:v>
                  </c:pt>
                  <c:pt idx="108">
                    <c:v>Smitha</c:v>
                  </c:pt>
                  <c:pt idx="109">
                    <c:v>Arjun</c:v>
                  </c:pt>
                  <c:pt idx="110">
                    <c:v>Chloe</c:v>
                  </c:pt>
                  <c:pt idx="111">
                    <c:v>Jordan</c:v>
                  </c:pt>
                  <c:pt idx="112">
                    <c:v>Kiyara</c:v>
                  </c:pt>
                  <c:pt idx="113">
                    <c:v>Susma</c:v>
                  </c:pt>
                  <c:pt idx="114">
                    <c:v>Taylore</c:v>
                  </c:pt>
                  <c:pt idx="115">
                    <c:v>Anirudh</c:v>
                  </c:pt>
                  <c:pt idx="116">
                    <c:v>Anshu</c:v>
                  </c:pt>
                  <c:pt idx="117">
                    <c:v>Anurag</c:v>
                  </c:pt>
                  <c:pt idx="118">
                    <c:v>Bhagya</c:v>
                  </c:pt>
                  <c:pt idx="119">
                    <c:v>Bharani</c:v>
                  </c:pt>
                  <c:pt idx="120">
                    <c:v>Gokul</c:v>
                  </c:pt>
                  <c:pt idx="121">
                    <c:v>Krishna</c:v>
                  </c:pt>
                  <c:pt idx="122">
                    <c:v>Smitha</c:v>
                  </c:pt>
                  <c:pt idx="123">
                    <c:v>Sohel</c:v>
                  </c:pt>
                  <c:pt idx="124">
                    <c:v>Suman </c:v>
                  </c:pt>
                  <c:pt idx="125">
                    <c:v>Sumanth</c:v>
                  </c:pt>
                  <c:pt idx="126">
                    <c:v>Susuila</c:v>
                  </c:pt>
                  <c:pt idx="127">
                    <c:v>Thanuja</c:v>
                  </c:pt>
                  <c:pt idx="128">
                    <c:v>Balaji</c:v>
                  </c:pt>
                  <c:pt idx="129">
                    <c:v>Bhargav</c:v>
                  </c:pt>
                  <c:pt idx="130">
                    <c:v>Bindhu</c:v>
                  </c:pt>
                  <c:pt idx="131">
                    <c:v>Hema</c:v>
                  </c:pt>
                  <c:pt idx="132">
                    <c:v>Hemanth</c:v>
                  </c:pt>
                  <c:pt idx="133">
                    <c:v>Lavanya</c:v>
                  </c:pt>
                  <c:pt idx="134">
                    <c:v>Nag</c:v>
                  </c:pt>
                  <c:pt idx="135">
                    <c:v>Chaithanya</c:v>
                  </c:pt>
                </c:lvl>
                <c:lvl>
                  <c:pt idx="0">
                    <c:v>(blank)</c:v>
                  </c:pt>
                  <c:pt idx="1">
                    <c:v>1001-1300</c:v>
                  </c:pt>
                  <c:pt idx="37">
                    <c:v>1301-1600</c:v>
                  </c:pt>
                  <c:pt idx="61">
                    <c:v>1601-1900</c:v>
                  </c:pt>
                  <c:pt idx="76">
                    <c:v>1901-2200</c:v>
                  </c:pt>
                  <c:pt idx="102">
                    <c:v>2201-2500</c:v>
                  </c:pt>
                  <c:pt idx="109">
                    <c:v>2501-2800</c:v>
                  </c:pt>
                  <c:pt idx="115">
                    <c:v>2801-3100</c:v>
                  </c:pt>
                  <c:pt idx="128">
                    <c:v>3101-3400</c:v>
                  </c:pt>
                  <c:pt idx="135">
                    <c:v>3401-3700</c:v>
                  </c:pt>
                </c:lvl>
              </c:multiLvlStrCache>
            </c:multiLvlStrRef>
          </c:cat>
          <c:val>
            <c:numRef>
              <c:f>'Pivot Table-1'!$C$5:$C$151</c:f>
              <c:numCache>
                <c:formatCode>General</c:formatCode>
                <c:ptCount val="136"/>
                <c:pt idx="1">
                  <c:v>153</c:v>
                </c:pt>
                <c:pt idx="2">
                  <c:v>164</c:v>
                </c:pt>
                <c:pt idx="3">
                  <c:v>123</c:v>
                </c:pt>
                <c:pt idx="4">
                  <c:v>112</c:v>
                </c:pt>
                <c:pt idx="5">
                  <c:v>212</c:v>
                </c:pt>
                <c:pt idx="6">
                  <c:v>77</c:v>
                </c:pt>
                <c:pt idx="7">
                  <c:v>103</c:v>
                </c:pt>
                <c:pt idx="8">
                  <c:v>259</c:v>
                </c:pt>
                <c:pt idx="10">
                  <c:v>133</c:v>
                </c:pt>
                <c:pt idx="13">
                  <c:v>125</c:v>
                </c:pt>
                <c:pt idx="15">
                  <c:v>107</c:v>
                </c:pt>
                <c:pt idx="16">
                  <c:v>107</c:v>
                </c:pt>
                <c:pt idx="17">
                  <c:v>91</c:v>
                </c:pt>
                <c:pt idx="18">
                  <c:v>229</c:v>
                </c:pt>
                <c:pt idx="19">
                  <c:v>199</c:v>
                </c:pt>
                <c:pt idx="20">
                  <c:v>92</c:v>
                </c:pt>
                <c:pt idx="26">
                  <c:v>100</c:v>
                </c:pt>
                <c:pt idx="28">
                  <c:v>85</c:v>
                </c:pt>
                <c:pt idx="30">
                  <c:v>269</c:v>
                </c:pt>
                <c:pt idx="32">
                  <c:v>129</c:v>
                </c:pt>
                <c:pt idx="33">
                  <c:v>189</c:v>
                </c:pt>
                <c:pt idx="34">
                  <c:v>90</c:v>
                </c:pt>
                <c:pt idx="36">
                  <c:v>69</c:v>
                </c:pt>
                <c:pt idx="37">
                  <c:v>78</c:v>
                </c:pt>
                <c:pt idx="38">
                  <c:v>100</c:v>
                </c:pt>
                <c:pt idx="40">
                  <c:v>120</c:v>
                </c:pt>
                <c:pt idx="41">
                  <c:v>295</c:v>
                </c:pt>
                <c:pt idx="43">
                  <c:v>89</c:v>
                </c:pt>
                <c:pt idx="44">
                  <c:v>127</c:v>
                </c:pt>
                <c:pt idx="48">
                  <c:v>125</c:v>
                </c:pt>
                <c:pt idx="53">
                  <c:v>166</c:v>
                </c:pt>
                <c:pt idx="54">
                  <c:v>135</c:v>
                </c:pt>
                <c:pt idx="56">
                  <c:v>113</c:v>
                </c:pt>
                <c:pt idx="61">
                  <c:v>140</c:v>
                </c:pt>
                <c:pt idx="62">
                  <c:v>156</c:v>
                </c:pt>
                <c:pt idx="63">
                  <c:v>166</c:v>
                </c:pt>
                <c:pt idx="65">
                  <c:v>171</c:v>
                </c:pt>
                <c:pt idx="68">
                  <c:v>87</c:v>
                </c:pt>
                <c:pt idx="69">
                  <c:v>126</c:v>
                </c:pt>
                <c:pt idx="70">
                  <c:v>80</c:v>
                </c:pt>
                <c:pt idx="71">
                  <c:v>127</c:v>
                </c:pt>
                <c:pt idx="73">
                  <c:v>153</c:v>
                </c:pt>
                <c:pt idx="74">
                  <c:v>174</c:v>
                </c:pt>
                <c:pt idx="76">
                  <c:v>127</c:v>
                </c:pt>
                <c:pt idx="77">
                  <c:v>145</c:v>
                </c:pt>
                <c:pt idx="78">
                  <c:v>146</c:v>
                </c:pt>
                <c:pt idx="79">
                  <c:v>55</c:v>
                </c:pt>
                <c:pt idx="80">
                  <c:v>103</c:v>
                </c:pt>
                <c:pt idx="81">
                  <c:v>219</c:v>
                </c:pt>
                <c:pt idx="84">
                  <c:v>138</c:v>
                </c:pt>
                <c:pt idx="85">
                  <c:v>104</c:v>
                </c:pt>
                <c:pt idx="86">
                  <c:v>258</c:v>
                </c:pt>
                <c:pt idx="89">
                  <c:v>94</c:v>
                </c:pt>
                <c:pt idx="94">
                  <c:v>91</c:v>
                </c:pt>
                <c:pt idx="98">
                  <c:v>58</c:v>
                </c:pt>
                <c:pt idx="99">
                  <c:v>164</c:v>
                </c:pt>
                <c:pt idx="103">
                  <c:v>122</c:v>
                </c:pt>
                <c:pt idx="106">
                  <c:v>77</c:v>
                </c:pt>
                <c:pt idx="107">
                  <c:v>88</c:v>
                </c:pt>
                <c:pt idx="109">
                  <c:v>123</c:v>
                </c:pt>
                <c:pt idx="111">
                  <c:v>126</c:v>
                </c:pt>
                <c:pt idx="114">
                  <c:v>176</c:v>
                </c:pt>
                <c:pt idx="115">
                  <c:v>112</c:v>
                </c:pt>
                <c:pt idx="117">
                  <c:v>156</c:v>
                </c:pt>
                <c:pt idx="119">
                  <c:v>143</c:v>
                </c:pt>
                <c:pt idx="120">
                  <c:v>159</c:v>
                </c:pt>
                <c:pt idx="121">
                  <c:v>84</c:v>
                </c:pt>
                <c:pt idx="123">
                  <c:v>134</c:v>
                </c:pt>
                <c:pt idx="124">
                  <c:v>154</c:v>
                </c:pt>
                <c:pt idx="125">
                  <c:v>149</c:v>
                </c:pt>
                <c:pt idx="128">
                  <c:v>123</c:v>
                </c:pt>
                <c:pt idx="129">
                  <c:v>109</c:v>
                </c:pt>
                <c:pt idx="132">
                  <c:v>156</c:v>
                </c:pt>
                <c:pt idx="134">
                  <c:v>172</c:v>
                </c:pt>
                <c:pt idx="135">
                  <c:v>149</c:v>
                </c:pt>
              </c:numCache>
            </c:numRef>
          </c:val>
          <c:extLst>
            <c:ext xmlns:c16="http://schemas.microsoft.com/office/drawing/2014/chart" uri="{C3380CC4-5D6E-409C-BE32-E72D297353CC}">
              <c16:uniqueId val="{00000005-536F-476D-AB73-1058ACD73450}"/>
            </c:ext>
          </c:extLst>
        </c:ser>
        <c:ser>
          <c:idx val="2"/>
          <c:order val="2"/>
          <c:tx>
            <c:strRef>
              <c:f>'Pivot Table-1'!$D$3:$D$4</c:f>
              <c:strCache>
                <c:ptCount val="1"/>
                <c:pt idx="0">
                  <c:v>(blank)</c:v>
                </c:pt>
              </c:strCache>
            </c:strRef>
          </c:tx>
          <c:spPr>
            <a:solidFill>
              <a:schemeClr val="accent3"/>
            </a:solidFill>
            <a:ln>
              <a:noFill/>
            </a:ln>
            <a:effectLst/>
          </c:spPr>
          <c:invertIfNegative val="0"/>
          <c:cat>
            <c:multiLvlStrRef>
              <c:f>'Pivot Table-1'!$A$5:$A$151</c:f>
              <c:multiLvlStrCache>
                <c:ptCount val="136"/>
                <c:lvl>
                  <c:pt idx="0">
                    <c:v>(blank)</c:v>
                  </c:pt>
                  <c:pt idx="1">
                    <c:v>Aakash</c:v>
                  </c:pt>
                  <c:pt idx="2">
                    <c:v>Addison</c:v>
                  </c:pt>
                  <c:pt idx="3">
                    <c:v>Adrian</c:v>
                  </c:pt>
                  <c:pt idx="4">
                    <c:v>Ajay</c:v>
                  </c:pt>
                  <c:pt idx="5">
                    <c:v>Amith</c:v>
                  </c:pt>
                  <c:pt idx="6">
                    <c:v>Ardian</c:v>
                  </c:pt>
                  <c:pt idx="7">
                    <c:v>Arjun</c:v>
                  </c:pt>
                  <c:pt idx="8">
                    <c:v>Ashok</c:v>
                  </c:pt>
                  <c:pt idx="9">
                    <c:v>Bella</c:v>
                  </c:pt>
                  <c:pt idx="10">
                    <c:v>Devid</c:v>
                  </c:pt>
                  <c:pt idx="11">
                    <c:v>Ellie</c:v>
                  </c:pt>
                  <c:pt idx="12">
                    <c:v>Emma</c:v>
                  </c:pt>
                  <c:pt idx="13">
                    <c:v>Evan</c:v>
                  </c:pt>
                  <c:pt idx="14">
                    <c:v>Gabriella</c:v>
                  </c:pt>
                  <c:pt idx="15">
                    <c:v>Hailey</c:v>
                  </c:pt>
                  <c:pt idx="16">
                    <c:v>Hunter</c:v>
                  </c:pt>
                  <c:pt idx="17">
                    <c:v>Jason</c:v>
                  </c:pt>
                  <c:pt idx="18">
                    <c:v>John</c:v>
                  </c:pt>
                  <c:pt idx="19">
                    <c:v>Jordan</c:v>
                  </c:pt>
                  <c:pt idx="20">
                    <c:v>Joseph</c:v>
                  </c:pt>
                  <c:pt idx="21">
                    <c:v>Kaveri</c:v>
                  </c:pt>
                  <c:pt idx="22">
                    <c:v>Kiyara</c:v>
                  </c:pt>
                  <c:pt idx="23">
                    <c:v>Krithi</c:v>
                  </c:pt>
                  <c:pt idx="24">
                    <c:v>Luna</c:v>
                  </c:pt>
                  <c:pt idx="25">
                    <c:v>Mia</c:v>
                  </c:pt>
                  <c:pt idx="26">
                    <c:v>Natalie</c:v>
                  </c:pt>
                  <c:pt idx="27">
                    <c:v>Samantha</c:v>
                  </c:pt>
                  <c:pt idx="28">
                    <c:v>Sean</c:v>
                  </c:pt>
                  <c:pt idx="29">
                    <c:v>Smitha</c:v>
                  </c:pt>
                  <c:pt idx="30">
                    <c:v>Sreedhar</c:v>
                  </c:pt>
                  <c:pt idx="31">
                    <c:v>Srija</c:v>
                  </c:pt>
                  <c:pt idx="32">
                    <c:v>Srinu</c:v>
                  </c:pt>
                  <c:pt idx="33">
                    <c:v>Sudheer</c:v>
                  </c:pt>
                  <c:pt idx="34">
                    <c:v>Taylore</c:v>
                  </c:pt>
                  <c:pt idx="35">
                    <c:v>Tina</c:v>
                  </c:pt>
                  <c:pt idx="36">
                    <c:v>Trevor</c:v>
                  </c:pt>
                  <c:pt idx="37">
                    <c:v>Aaron</c:v>
                  </c:pt>
                  <c:pt idx="38">
                    <c:v>Albert</c:v>
                  </c:pt>
                  <c:pt idx="39">
                    <c:v>Anshu</c:v>
                  </c:pt>
                  <c:pt idx="40">
                    <c:v>Ashok</c:v>
                  </c:pt>
                  <c:pt idx="41">
                    <c:v>Bharath</c:v>
                  </c:pt>
                  <c:pt idx="42">
                    <c:v>Claire</c:v>
                  </c:pt>
                  <c:pt idx="43">
                    <c:v>Daisy</c:v>
                  </c:pt>
                  <c:pt idx="44">
                    <c:v>Devid</c:v>
                  </c:pt>
                  <c:pt idx="45">
                    <c:v>Eligibeth</c:v>
                  </c:pt>
                  <c:pt idx="46">
                    <c:v>Ellie</c:v>
                  </c:pt>
                  <c:pt idx="47">
                    <c:v>Emma</c:v>
                  </c:pt>
                  <c:pt idx="48">
                    <c:v>Jade</c:v>
                  </c:pt>
                  <c:pt idx="49">
                    <c:v>Kayla</c:v>
                  </c:pt>
                  <c:pt idx="50">
                    <c:v>Krithi</c:v>
                  </c:pt>
                  <c:pt idx="51">
                    <c:v>Lillian</c:v>
                  </c:pt>
                  <c:pt idx="52">
                    <c:v>Mia</c:v>
                  </c:pt>
                  <c:pt idx="53">
                    <c:v>Paisley</c:v>
                  </c:pt>
                  <c:pt idx="54">
                    <c:v>Parker</c:v>
                  </c:pt>
                  <c:pt idx="55">
                    <c:v>Sameera</c:v>
                  </c:pt>
                  <c:pt idx="56">
                    <c:v>Sean</c:v>
                  </c:pt>
                  <c:pt idx="57">
                    <c:v>Smitha</c:v>
                  </c:pt>
                  <c:pt idx="58">
                    <c:v>Sophiya</c:v>
                  </c:pt>
                  <c:pt idx="59">
                    <c:v>Sreeja</c:v>
                  </c:pt>
                  <c:pt idx="60">
                    <c:v>Sritha</c:v>
                  </c:pt>
                  <c:pt idx="61">
                    <c:v>Amith</c:v>
                  </c:pt>
                  <c:pt idx="62">
                    <c:v>Arjun</c:v>
                  </c:pt>
                  <c:pt idx="63">
                    <c:v>Ashok</c:v>
                  </c:pt>
                  <c:pt idx="64">
                    <c:v>Camila</c:v>
                  </c:pt>
                  <c:pt idx="65">
                    <c:v>Devid</c:v>
                  </c:pt>
                  <c:pt idx="66">
                    <c:v>Eligibeth</c:v>
                  </c:pt>
                  <c:pt idx="67">
                    <c:v>Everly</c:v>
                  </c:pt>
                  <c:pt idx="68">
                    <c:v>Hailey</c:v>
                  </c:pt>
                  <c:pt idx="69">
                    <c:v>Joseph</c:v>
                  </c:pt>
                  <c:pt idx="70">
                    <c:v>Krish</c:v>
                  </c:pt>
                  <c:pt idx="71">
                    <c:v>Ram</c:v>
                  </c:pt>
                  <c:pt idx="72">
                    <c:v>Sharadha</c:v>
                  </c:pt>
                  <c:pt idx="73">
                    <c:v>Sohel</c:v>
                  </c:pt>
                  <c:pt idx="74">
                    <c:v>Srinu</c:v>
                  </c:pt>
                  <c:pt idx="75">
                    <c:v>Susmitha</c:v>
                  </c:pt>
                  <c:pt idx="76">
                    <c:v>Aaron</c:v>
                  </c:pt>
                  <c:pt idx="77">
                    <c:v>Abhishek</c:v>
                  </c:pt>
                  <c:pt idx="78">
                    <c:v>Ajith</c:v>
                  </c:pt>
                  <c:pt idx="79">
                    <c:v>Amith</c:v>
                  </c:pt>
                  <c:pt idx="80">
                    <c:v>Amrith</c:v>
                  </c:pt>
                  <c:pt idx="81">
                    <c:v>Bharath</c:v>
                  </c:pt>
                  <c:pt idx="82">
                    <c:v>Eligibeth</c:v>
                  </c:pt>
                  <c:pt idx="83">
                    <c:v>Emma</c:v>
                  </c:pt>
                  <c:pt idx="84">
                    <c:v>Jason</c:v>
                  </c:pt>
                  <c:pt idx="85">
                    <c:v>Kaml</c:v>
                  </c:pt>
                  <c:pt idx="86">
                    <c:v>Kiran</c:v>
                  </c:pt>
                  <c:pt idx="87">
                    <c:v>Kiyara</c:v>
                  </c:pt>
                  <c:pt idx="88">
                    <c:v>Kyle</c:v>
                  </c:pt>
                  <c:pt idx="89">
                    <c:v>Lucas</c:v>
                  </c:pt>
                  <c:pt idx="90">
                    <c:v>Luna</c:v>
                  </c:pt>
                  <c:pt idx="91">
                    <c:v>Mano</c:v>
                  </c:pt>
                  <c:pt idx="92">
                    <c:v>Mia</c:v>
                  </c:pt>
                  <c:pt idx="93">
                    <c:v>Sahasra</c:v>
                  </c:pt>
                  <c:pt idx="94">
                    <c:v>Sekhar</c:v>
                  </c:pt>
                  <c:pt idx="95">
                    <c:v>Smitha</c:v>
                  </c:pt>
                  <c:pt idx="96">
                    <c:v>Sneha</c:v>
                  </c:pt>
                  <c:pt idx="97">
                    <c:v>Srasti</c:v>
                  </c:pt>
                  <c:pt idx="98">
                    <c:v>Sreedhar</c:v>
                  </c:pt>
                  <c:pt idx="99">
                    <c:v>Sudheer</c:v>
                  </c:pt>
                  <c:pt idx="100">
                    <c:v>Taylore</c:v>
                  </c:pt>
                  <c:pt idx="101">
                    <c:v>Tina</c:v>
                  </c:pt>
                  <c:pt idx="102">
                    <c:v>Ava</c:v>
                  </c:pt>
                  <c:pt idx="103">
                    <c:v>Devid</c:v>
                  </c:pt>
                  <c:pt idx="104">
                    <c:v>Emma</c:v>
                  </c:pt>
                  <c:pt idx="105">
                    <c:v>Isaac</c:v>
                  </c:pt>
                  <c:pt idx="106">
                    <c:v>John</c:v>
                  </c:pt>
                  <c:pt idx="107">
                    <c:v>Shuhas</c:v>
                  </c:pt>
                  <c:pt idx="108">
                    <c:v>Smitha</c:v>
                  </c:pt>
                  <c:pt idx="109">
                    <c:v>Arjun</c:v>
                  </c:pt>
                  <c:pt idx="110">
                    <c:v>Chloe</c:v>
                  </c:pt>
                  <c:pt idx="111">
                    <c:v>Jordan</c:v>
                  </c:pt>
                  <c:pt idx="112">
                    <c:v>Kiyara</c:v>
                  </c:pt>
                  <c:pt idx="113">
                    <c:v>Susma</c:v>
                  </c:pt>
                  <c:pt idx="114">
                    <c:v>Taylore</c:v>
                  </c:pt>
                  <c:pt idx="115">
                    <c:v>Anirudh</c:v>
                  </c:pt>
                  <c:pt idx="116">
                    <c:v>Anshu</c:v>
                  </c:pt>
                  <c:pt idx="117">
                    <c:v>Anurag</c:v>
                  </c:pt>
                  <c:pt idx="118">
                    <c:v>Bhagya</c:v>
                  </c:pt>
                  <c:pt idx="119">
                    <c:v>Bharani</c:v>
                  </c:pt>
                  <c:pt idx="120">
                    <c:v>Gokul</c:v>
                  </c:pt>
                  <c:pt idx="121">
                    <c:v>Krishna</c:v>
                  </c:pt>
                  <c:pt idx="122">
                    <c:v>Smitha</c:v>
                  </c:pt>
                  <c:pt idx="123">
                    <c:v>Sohel</c:v>
                  </c:pt>
                  <c:pt idx="124">
                    <c:v>Suman </c:v>
                  </c:pt>
                  <c:pt idx="125">
                    <c:v>Sumanth</c:v>
                  </c:pt>
                  <c:pt idx="126">
                    <c:v>Susuila</c:v>
                  </c:pt>
                  <c:pt idx="127">
                    <c:v>Thanuja</c:v>
                  </c:pt>
                  <c:pt idx="128">
                    <c:v>Balaji</c:v>
                  </c:pt>
                  <c:pt idx="129">
                    <c:v>Bhargav</c:v>
                  </c:pt>
                  <c:pt idx="130">
                    <c:v>Bindhu</c:v>
                  </c:pt>
                  <c:pt idx="131">
                    <c:v>Hema</c:v>
                  </c:pt>
                  <c:pt idx="132">
                    <c:v>Hemanth</c:v>
                  </c:pt>
                  <c:pt idx="133">
                    <c:v>Lavanya</c:v>
                  </c:pt>
                  <c:pt idx="134">
                    <c:v>Nag</c:v>
                  </c:pt>
                  <c:pt idx="135">
                    <c:v>Chaithanya</c:v>
                  </c:pt>
                </c:lvl>
                <c:lvl>
                  <c:pt idx="0">
                    <c:v>(blank)</c:v>
                  </c:pt>
                  <c:pt idx="1">
                    <c:v>1001-1300</c:v>
                  </c:pt>
                  <c:pt idx="37">
                    <c:v>1301-1600</c:v>
                  </c:pt>
                  <c:pt idx="61">
                    <c:v>1601-1900</c:v>
                  </c:pt>
                  <c:pt idx="76">
                    <c:v>1901-2200</c:v>
                  </c:pt>
                  <c:pt idx="102">
                    <c:v>2201-2500</c:v>
                  </c:pt>
                  <c:pt idx="109">
                    <c:v>2501-2800</c:v>
                  </c:pt>
                  <c:pt idx="115">
                    <c:v>2801-3100</c:v>
                  </c:pt>
                  <c:pt idx="128">
                    <c:v>3101-3400</c:v>
                  </c:pt>
                  <c:pt idx="135">
                    <c:v>3401-3700</c:v>
                  </c:pt>
                </c:lvl>
              </c:multiLvlStrCache>
            </c:multiLvlStrRef>
          </c:cat>
          <c:val>
            <c:numRef>
              <c:f>'Pivot Table-1'!$D$5:$D$151</c:f>
              <c:numCache>
                <c:formatCode>General</c:formatCode>
                <c:ptCount val="136"/>
              </c:numCache>
            </c:numRef>
          </c:val>
          <c:extLst>
            <c:ext xmlns:c16="http://schemas.microsoft.com/office/drawing/2014/chart" uri="{C3380CC4-5D6E-409C-BE32-E72D297353CC}">
              <c16:uniqueId val="{00000009-536F-476D-AB73-1058ACD73450}"/>
            </c:ext>
          </c:extLst>
        </c:ser>
        <c:dLbls>
          <c:showLegendKey val="0"/>
          <c:showVal val="0"/>
          <c:showCatName val="0"/>
          <c:showSerName val="0"/>
          <c:showPercent val="0"/>
          <c:showBubbleSize val="0"/>
        </c:dLbls>
        <c:gapWidth val="219"/>
        <c:overlap val="-27"/>
        <c:axId val="872774368"/>
        <c:axId val="877306208"/>
      </c:barChart>
      <c:catAx>
        <c:axId val="872774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DA32C6"/>
                    </a:solidFill>
                  </a:rPr>
                  <a:t>Student</a:t>
                </a:r>
                <a:r>
                  <a:rPr lang="en-IN" b="1" baseline="0">
                    <a:solidFill>
                      <a:srgbClr val="DA32C6"/>
                    </a:solidFill>
                  </a:rPr>
                  <a:t> Name</a:t>
                </a:r>
                <a:endParaRPr lang="en-IN" b="1">
                  <a:solidFill>
                    <a:srgbClr val="DA32C6"/>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306208"/>
        <c:crosses val="autoZero"/>
        <c:auto val="1"/>
        <c:lblAlgn val="ctr"/>
        <c:lblOffset val="100"/>
        <c:noMultiLvlLbl val="0"/>
      </c:catAx>
      <c:valAx>
        <c:axId val="877306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DA32C6"/>
                    </a:solidFill>
                  </a:rPr>
                  <a:t>Marks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77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Table-2!PivotTable2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B0F0"/>
                </a:solidFill>
              </a:rPr>
              <a:t>STUDENT</a:t>
            </a:r>
            <a:r>
              <a:rPr lang="en-IN" b="1" baseline="0">
                <a:solidFill>
                  <a:srgbClr val="00B0F0"/>
                </a:solidFill>
              </a:rPr>
              <a:t>S RANKS</a:t>
            </a:r>
            <a:endParaRPr lang="en-IN" b="1">
              <a:solidFill>
                <a:srgbClr val="00B0F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 Table-2'!$B$3:$B$4</c:f>
              <c:strCache>
                <c:ptCount val="1"/>
                <c:pt idx="0">
                  <c:v>AI&amp;ML</c:v>
                </c:pt>
              </c:strCache>
            </c:strRef>
          </c:tx>
          <c:spPr>
            <a:solidFill>
              <a:schemeClr val="accent1"/>
            </a:solidFill>
            <a:ln>
              <a:noFill/>
            </a:ln>
            <a:effectLst/>
          </c:spPr>
          <c:invertIfNegative val="0"/>
          <c:cat>
            <c:multiLvlStrRef>
              <c:f>'Pivot Table-2'!$A$5:$A$20</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1st Rank</c:v>
                  </c:pt>
                  <c:pt idx="2">
                    <c:v>2nd Rank</c:v>
                  </c:pt>
                  <c:pt idx="4">
                    <c:v>3rd Rank</c:v>
                  </c:pt>
                  <c:pt idx="6">
                    <c:v>4th Rank</c:v>
                  </c:pt>
                  <c:pt idx="8">
                    <c:v>5th Rank</c:v>
                  </c:pt>
                </c:lvl>
              </c:multiLvlStrCache>
            </c:multiLvlStrRef>
          </c:cat>
          <c:val>
            <c:numRef>
              <c:f>'Pivot Table-2'!$B$5:$B$20</c:f>
              <c:numCache>
                <c:formatCode>General</c:formatCode>
                <c:ptCount val="10"/>
                <c:pt idx="2">
                  <c:v>327</c:v>
                </c:pt>
                <c:pt idx="3">
                  <c:v>493</c:v>
                </c:pt>
                <c:pt idx="4">
                  <c:v>786</c:v>
                </c:pt>
                <c:pt idx="5">
                  <c:v>1138</c:v>
                </c:pt>
                <c:pt idx="6">
                  <c:v>99</c:v>
                </c:pt>
                <c:pt idx="7">
                  <c:v>568</c:v>
                </c:pt>
                <c:pt idx="8">
                  <c:v>150</c:v>
                </c:pt>
                <c:pt idx="9">
                  <c:v>46</c:v>
                </c:pt>
              </c:numCache>
            </c:numRef>
          </c:val>
          <c:extLst>
            <c:ext xmlns:c16="http://schemas.microsoft.com/office/drawing/2014/chart" uri="{C3380CC4-5D6E-409C-BE32-E72D297353CC}">
              <c16:uniqueId val="{00000000-F424-49F2-9823-2B8E58BE0CD6}"/>
            </c:ext>
          </c:extLst>
        </c:ser>
        <c:ser>
          <c:idx val="1"/>
          <c:order val="1"/>
          <c:tx>
            <c:strRef>
              <c:f>'Pivot Table-2'!$C$3:$C$4</c:f>
              <c:strCache>
                <c:ptCount val="1"/>
                <c:pt idx="0">
                  <c:v>CIVIL</c:v>
                </c:pt>
              </c:strCache>
            </c:strRef>
          </c:tx>
          <c:spPr>
            <a:solidFill>
              <a:schemeClr val="accent2"/>
            </a:solidFill>
            <a:ln>
              <a:noFill/>
            </a:ln>
            <a:effectLst/>
          </c:spPr>
          <c:invertIfNegative val="0"/>
          <c:cat>
            <c:multiLvlStrRef>
              <c:f>'Pivot Table-2'!$A$5:$A$20</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1st Rank</c:v>
                  </c:pt>
                  <c:pt idx="2">
                    <c:v>2nd Rank</c:v>
                  </c:pt>
                  <c:pt idx="4">
                    <c:v>3rd Rank</c:v>
                  </c:pt>
                  <c:pt idx="6">
                    <c:v>4th Rank</c:v>
                  </c:pt>
                  <c:pt idx="8">
                    <c:v>5th Rank</c:v>
                  </c:pt>
                </c:lvl>
              </c:multiLvlStrCache>
            </c:multiLvlStrRef>
          </c:cat>
          <c:val>
            <c:numRef>
              <c:f>'Pivot Table-2'!$C$5:$C$20</c:f>
              <c:numCache>
                <c:formatCode>General</c:formatCode>
                <c:ptCount val="10"/>
                <c:pt idx="2">
                  <c:v>155</c:v>
                </c:pt>
                <c:pt idx="3">
                  <c:v>321</c:v>
                </c:pt>
                <c:pt idx="4">
                  <c:v>116</c:v>
                </c:pt>
                <c:pt idx="5">
                  <c:v>750</c:v>
                </c:pt>
                <c:pt idx="6">
                  <c:v>506</c:v>
                </c:pt>
                <c:pt idx="7">
                  <c:v>388</c:v>
                </c:pt>
                <c:pt idx="9">
                  <c:v>69</c:v>
                </c:pt>
              </c:numCache>
            </c:numRef>
          </c:val>
          <c:extLst>
            <c:ext xmlns:c16="http://schemas.microsoft.com/office/drawing/2014/chart" uri="{C3380CC4-5D6E-409C-BE32-E72D297353CC}">
              <c16:uniqueId val="{00000001-F424-49F2-9823-2B8E58BE0CD6}"/>
            </c:ext>
          </c:extLst>
        </c:ser>
        <c:ser>
          <c:idx val="2"/>
          <c:order val="2"/>
          <c:tx>
            <c:strRef>
              <c:f>'Pivot Table-2'!$D$3:$D$4</c:f>
              <c:strCache>
                <c:ptCount val="1"/>
                <c:pt idx="0">
                  <c:v>CSE</c:v>
                </c:pt>
              </c:strCache>
            </c:strRef>
          </c:tx>
          <c:spPr>
            <a:solidFill>
              <a:schemeClr val="accent3"/>
            </a:solidFill>
            <a:ln>
              <a:noFill/>
            </a:ln>
            <a:effectLst/>
          </c:spPr>
          <c:invertIfNegative val="0"/>
          <c:cat>
            <c:multiLvlStrRef>
              <c:f>'Pivot Table-2'!$A$5:$A$20</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1st Rank</c:v>
                  </c:pt>
                  <c:pt idx="2">
                    <c:v>2nd Rank</c:v>
                  </c:pt>
                  <c:pt idx="4">
                    <c:v>3rd Rank</c:v>
                  </c:pt>
                  <c:pt idx="6">
                    <c:v>4th Rank</c:v>
                  </c:pt>
                  <c:pt idx="8">
                    <c:v>5th Rank</c:v>
                  </c:pt>
                </c:lvl>
              </c:multiLvlStrCache>
            </c:multiLvlStrRef>
          </c:cat>
          <c:val>
            <c:numRef>
              <c:f>'Pivot Table-2'!$D$5:$D$20</c:f>
              <c:numCache>
                <c:formatCode>General</c:formatCode>
                <c:ptCount val="10"/>
                <c:pt idx="2">
                  <c:v>660</c:v>
                </c:pt>
                <c:pt idx="3">
                  <c:v>1281</c:v>
                </c:pt>
                <c:pt idx="4">
                  <c:v>1091</c:v>
                </c:pt>
                <c:pt idx="5">
                  <c:v>404</c:v>
                </c:pt>
                <c:pt idx="6">
                  <c:v>973</c:v>
                </c:pt>
                <c:pt idx="7">
                  <c:v>680</c:v>
                </c:pt>
                <c:pt idx="8">
                  <c:v>195</c:v>
                </c:pt>
                <c:pt idx="9">
                  <c:v>273</c:v>
                </c:pt>
              </c:numCache>
            </c:numRef>
          </c:val>
          <c:extLst>
            <c:ext xmlns:c16="http://schemas.microsoft.com/office/drawing/2014/chart" uri="{C3380CC4-5D6E-409C-BE32-E72D297353CC}">
              <c16:uniqueId val="{00000005-F424-49F2-9823-2B8E58BE0CD6}"/>
            </c:ext>
          </c:extLst>
        </c:ser>
        <c:ser>
          <c:idx val="3"/>
          <c:order val="3"/>
          <c:tx>
            <c:strRef>
              <c:f>'Pivot Table-2'!$E$3:$E$4</c:f>
              <c:strCache>
                <c:ptCount val="1"/>
                <c:pt idx="0">
                  <c:v>ECE</c:v>
                </c:pt>
              </c:strCache>
            </c:strRef>
          </c:tx>
          <c:spPr>
            <a:solidFill>
              <a:schemeClr val="accent4"/>
            </a:solidFill>
            <a:ln>
              <a:noFill/>
            </a:ln>
            <a:effectLst/>
          </c:spPr>
          <c:invertIfNegative val="0"/>
          <c:cat>
            <c:multiLvlStrRef>
              <c:f>'Pivot Table-2'!$A$5:$A$20</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1st Rank</c:v>
                  </c:pt>
                  <c:pt idx="2">
                    <c:v>2nd Rank</c:v>
                  </c:pt>
                  <c:pt idx="4">
                    <c:v>3rd Rank</c:v>
                  </c:pt>
                  <c:pt idx="6">
                    <c:v>4th Rank</c:v>
                  </c:pt>
                  <c:pt idx="8">
                    <c:v>5th Rank</c:v>
                  </c:pt>
                </c:lvl>
              </c:multiLvlStrCache>
            </c:multiLvlStrRef>
          </c:cat>
          <c:val>
            <c:numRef>
              <c:f>'Pivot Table-2'!$E$5:$E$20</c:f>
              <c:numCache>
                <c:formatCode>General</c:formatCode>
                <c:ptCount val="10"/>
                <c:pt idx="1">
                  <c:v>189</c:v>
                </c:pt>
                <c:pt idx="2">
                  <c:v>155</c:v>
                </c:pt>
                <c:pt idx="3">
                  <c:v>489</c:v>
                </c:pt>
                <c:pt idx="4">
                  <c:v>770</c:v>
                </c:pt>
                <c:pt idx="5">
                  <c:v>1167</c:v>
                </c:pt>
                <c:pt idx="6">
                  <c:v>396</c:v>
                </c:pt>
                <c:pt idx="7">
                  <c:v>210</c:v>
                </c:pt>
                <c:pt idx="8">
                  <c:v>70</c:v>
                </c:pt>
                <c:pt idx="9">
                  <c:v>155</c:v>
                </c:pt>
              </c:numCache>
            </c:numRef>
          </c:val>
          <c:extLst>
            <c:ext xmlns:c16="http://schemas.microsoft.com/office/drawing/2014/chart" uri="{C3380CC4-5D6E-409C-BE32-E72D297353CC}">
              <c16:uniqueId val="{00000006-F424-49F2-9823-2B8E58BE0CD6}"/>
            </c:ext>
          </c:extLst>
        </c:ser>
        <c:ser>
          <c:idx val="4"/>
          <c:order val="4"/>
          <c:tx>
            <c:strRef>
              <c:f>'Pivot Table-2'!$F$3:$F$4</c:f>
              <c:strCache>
                <c:ptCount val="1"/>
                <c:pt idx="0">
                  <c:v>EEE</c:v>
                </c:pt>
              </c:strCache>
            </c:strRef>
          </c:tx>
          <c:spPr>
            <a:solidFill>
              <a:schemeClr val="accent5"/>
            </a:solidFill>
            <a:ln>
              <a:noFill/>
            </a:ln>
            <a:effectLst/>
          </c:spPr>
          <c:invertIfNegative val="0"/>
          <c:cat>
            <c:multiLvlStrRef>
              <c:f>'Pivot Table-2'!$A$5:$A$20</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1st Rank</c:v>
                  </c:pt>
                  <c:pt idx="2">
                    <c:v>2nd Rank</c:v>
                  </c:pt>
                  <c:pt idx="4">
                    <c:v>3rd Rank</c:v>
                  </c:pt>
                  <c:pt idx="6">
                    <c:v>4th Rank</c:v>
                  </c:pt>
                  <c:pt idx="8">
                    <c:v>5th Rank</c:v>
                  </c:pt>
                </c:lvl>
              </c:multiLvlStrCache>
            </c:multiLvlStrRef>
          </c:cat>
          <c:val>
            <c:numRef>
              <c:f>'Pivot Table-2'!$F$5:$F$20</c:f>
              <c:numCache>
                <c:formatCode>General</c:formatCode>
                <c:ptCount val="10"/>
                <c:pt idx="0">
                  <c:v>182</c:v>
                </c:pt>
                <c:pt idx="2">
                  <c:v>173</c:v>
                </c:pt>
                <c:pt idx="3">
                  <c:v>156</c:v>
                </c:pt>
                <c:pt idx="4">
                  <c:v>953</c:v>
                </c:pt>
                <c:pt idx="5">
                  <c:v>939</c:v>
                </c:pt>
                <c:pt idx="6">
                  <c:v>290</c:v>
                </c:pt>
                <c:pt idx="7">
                  <c:v>366</c:v>
                </c:pt>
                <c:pt idx="8">
                  <c:v>123</c:v>
                </c:pt>
                <c:pt idx="9">
                  <c:v>77</c:v>
                </c:pt>
              </c:numCache>
            </c:numRef>
          </c:val>
          <c:extLst>
            <c:ext xmlns:c16="http://schemas.microsoft.com/office/drawing/2014/chart" uri="{C3380CC4-5D6E-409C-BE32-E72D297353CC}">
              <c16:uniqueId val="{00000007-F424-49F2-9823-2B8E58BE0CD6}"/>
            </c:ext>
          </c:extLst>
        </c:ser>
        <c:dLbls>
          <c:showLegendKey val="0"/>
          <c:showVal val="0"/>
          <c:showCatName val="0"/>
          <c:showSerName val="0"/>
          <c:showPercent val="0"/>
          <c:showBubbleSize val="0"/>
        </c:dLbls>
        <c:gapWidth val="219"/>
        <c:overlap val="-27"/>
        <c:axId val="1217586576"/>
        <c:axId val="1317869824"/>
      </c:barChart>
      <c:catAx>
        <c:axId val="1217586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DA32C6"/>
                    </a:solidFill>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869824"/>
        <c:crosses val="autoZero"/>
        <c:auto val="1"/>
        <c:lblAlgn val="ctr"/>
        <c:lblOffset val="100"/>
        <c:noMultiLvlLbl val="0"/>
      </c:catAx>
      <c:valAx>
        <c:axId val="1317869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DA32C6"/>
                    </a:solidFill>
                  </a:rPr>
                  <a:t>TOTAL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58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Table-3!PivotTable3</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2">
                    <a:lumMod val="75000"/>
                  </a:schemeClr>
                </a:solidFill>
              </a:rPr>
              <a:t>STUDENT</a:t>
            </a:r>
            <a:r>
              <a:rPr lang="en-IN" b="1" baseline="0">
                <a:solidFill>
                  <a:schemeClr val="accent2">
                    <a:lumMod val="75000"/>
                  </a:schemeClr>
                </a:solidFill>
              </a:rPr>
              <a:t> STATUS</a:t>
            </a:r>
            <a:endParaRPr lang="en-IN" b="1">
              <a:solidFill>
                <a:schemeClr val="accent2">
                  <a:lumMod val="75000"/>
                </a:schemeClr>
              </a:solidFill>
            </a:endParaRPr>
          </a:p>
        </c:rich>
      </c:tx>
      <c:layout>
        <c:manualLayout>
          <c:xMode val="edge"/>
          <c:yMode val="edge"/>
          <c:x val="0.35567344706911636"/>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cked"/>
        <c:varyColors val="0"/>
        <c:ser>
          <c:idx val="0"/>
          <c:order val="0"/>
          <c:tx>
            <c:strRef>
              <c:f>'Pivot Table-3'!$B$3:$B$4</c:f>
              <c:strCache>
                <c:ptCount val="1"/>
                <c:pt idx="0">
                  <c:v>1st Rank</c:v>
                </c:pt>
              </c:strCache>
            </c:strRef>
          </c:tx>
          <c:spPr>
            <a:ln w="28575" cap="rnd">
              <a:solidFill>
                <a:schemeClr val="accent1"/>
              </a:solidFill>
              <a:round/>
            </a:ln>
            <a:effectLst/>
          </c:spPr>
          <c:marker>
            <c:symbol val="none"/>
          </c:marker>
          <c:cat>
            <c:multiLvlStrRef>
              <c:f>'Pivot Table-3'!$A$5:$A$13</c:f>
              <c:multiLvlStrCache>
                <c:ptCount val="5"/>
                <c:lvl>
                  <c:pt idx="0">
                    <c:v>Fail</c:v>
                  </c:pt>
                  <c:pt idx="1">
                    <c:v>Pass</c:v>
                  </c:pt>
                  <c:pt idx="2">
                    <c:v>Fail</c:v>
                  </c:pt>
                  <c:pt idx="3">
                    <c:v>Pass</c:v>
                  </c:pt>
                  <c:pt idx="4">
                    <c:v>(blank)</c:v>
                  </c:pt>
                </c:lvl>
                <c:lvl>
                  <c:pt idx="0">
                    <c:v>Female</c:v>
                  </c:pt>
                  <c:pt idx="2">
                    <c:v>Male</c:v>
                  </c:pt>
                  <c:pt idx="4">
                    <c:v>(blank)</c:v>
                  </c:pt>
                </c:lvl>
              </c:multiLvlStrCache>
            </c:multiLvlStrRef>
          </c:cat>
          <c:val>
            <c:numRef>
              <c:f>'Pivot Table-3'!$B$5:$B$13</c:f>
              <c:numCache>
                <c:formatCode>General</c:formatCode>
                <c:ptCount val="5"/>
                <c:pt idx="1">
                  <c:v>1</c:v>
                </c:pt>
                <c:pt idx="3">
                  <c:v>1</c:v>
                </c:pt>
              </c:numCache>
            </c:numRef>
          </c:val>
          <c:smooth val="0"/>
          <c:extLst>
            <c:ext xmlns:c16="http://schemas.microsoft.com/office/drawing/2014/chart" uri="{C3380CC4-5D6E-409C-BE32-E72D297353CC}">
              <c16:uniqueId val="{00000000-8F07-41BB-B882-DF869C007911}"/>
            </c:ext>
          </c:extLst>
        </c:ser>
        <c:ser>
          <c:idx val="1"/>
          <c:order val="1"/>
          <c:tx>
            <c:strRef>
              <c:f>'Pivot Table-3'!$C$3:$C$4</c:f>
              <c:strCache>
                <c:ptCount val="1"/>
                <c:pt idx="0">
                  <c:v>2nd Rank</c:v>
                </c:pt>
              </c:strCache>
            </c:strRef>
          </c:tx>
          <c:spPr>
            <a:ln w="28575" cap="rnd">
              <a:solidFill>
                <a:schemeClr val="accent2"/>
              </a:solidFill>
              <a:round/>
            </a:ln>
            <a:effectLst/>
          </c:spPr>
          <c:marker>
            <c:symbol val="none"/>
          </c:marker>
          <c:cat>
            <c:multiLvlStrRef>
              <c:f>'Pivot Table-3'!$A$5:$A$13</c:f>
              <c:multiLvlStrCache>
                <c:ptCount val="5"/>
                <c:lvl>
                  <c:pt idx="0">
                    <c:v>Fail</c:v>
                  </c:pt>
                  <c:pt idx="1">
                    <c:v>Pass</c:v>
                  </c:pt>
                  <c:pt idx="2">
                    <c:v>Fail</c:v>
                  </c:pt>
                  <c:pt idx="3">
                    <c:v>Pass</c:v>
                  </c:pt>
                  <c:pt idx="4">
                    <c:v>(blank)</c:v>
                  </c:pt>
                </c:lvl>
                <c:lvl>
                  <c:pt idx="0">
                    <c:v>Female</c:v>
                  </c:pt>
                  <c:pt idx="2">
                    <c:v>Male</c:v>
                  </c:pt>
                  <c:pt idx="4">
                    <c:v>(blank)</c:v>
                  </c:pt>
                </c:lvl>
              </c:multiLvlStrCache>
            </c:multiLvlStrRef>
          </c:cat>
          <c:val>
            <c:numRef>
              <c:f>'Pivot Table-3'!$C$5:$C$13</c:f>
              <c:numCache>
                <c:formatCode>General</c:formatCode>
                <c:ptCount val="5"/>
                <c:pt idx="1">
                  <c:v>9</c:v>
                </c:pt>
                <c:pt idx="3">
                  <c:v>17</c:v>
                </c:pt>
              </c:numCache>
            </c:numRef>
          </c:val>
          <c:smooth val="0"/>
          <c:extLst>
            <c:ext xmlns:c16="http://schemas.microsoft.com/office/drawing/2014/chart" uri="{C3380CC4-5D6E-409C-BE32-E72D297353CC}">
              <c16:uniqueId val="{0000000E-8F07-41BB-B882-DF869C007911}"/>
            </c:ext>
          </c:extLst>
        </c:ser>
        <c:ser>
          <c:idx val="2"/>
          <c:order val="2"/>
          <c:tx>
            <c:strRef>
              <c:f>'Pivot Table-3'!$D$3:$D$4</c:f>
              <c:strCache>
                <c:ptCount val="1"/>
                <c:pt idx="0">
                  <c:v>3rd Rank</c:v>
                </c:pt>
              </c:strCache>
            </c:strRef>
          </c:tx>
          <c:spPr>
            <a:ln w="28575" cap="rnd">
              <a:solidFill>
                <a:schemeClr val="accent3"/>
              </a:solidFill>
              <a:round/>
            </a:ln>
            <a:effectLst/>
          </c:spPr>
          <c:marker>
            <c:symbol val="none"/>
          </c:marker>
          <c:cat>
            <c:multiLvlStrRef>
              <c:f>'Pivot Table-3'!$A$5:$A$13</c:f>
              <c:multiLvlStrCache>
                <c:ptCount val="5"/>
                <c:lvl>
                  <c:pt idx="0">
                    <c:v>Fail</c:v>
                  </c:pt>
                  <c:pt idx="1">
                    <c:v>Pass</c:v>
                  </c:pt>
                  <c:pt idx="2">
                    <c:v>Fail</c:v>
                  </c:pt>
                  <c:pt idx="3">
                    <c:v>Pass</c:v>
                  </c:pt>
                  <c:pt idx="4">
                    <c:v>(blank)</c:v>
                  </c:pt>
                </c:lvl>
                <c:lvl>
                  <c:pt idx="0">
                    <c:v>Female</c:v>
                  </c:pt>
                  <c:pt idx="2">
                    <c:v>Male</c:v>
                  </c:pt>
                  <c:pt idx="4">
                    <c:v>(blank)</c:v>
                  </c:pt>
                </c:lvl>
              </c:multiLvlStrCache>
            </c:multiLvlStrRef>
          </c:cat>
          <c:val>
            <c:numRef>
              <c:f>'Pivot Table-3'!$D$5:$D$13</c:f>
              <c:numCache>
                <c:formatCode>General</c:formatCode>
                <c:ptCount val="5"/>
                <c:pt idx="0">
                  <c:v>2</c:v>
                </c:pt>
                <c:pt idx="1">
                  <c:v>26</c:v>
                </c:pt>
                <c:pt idx="2">
                  <c:v>2</c:v>
                </c:pt>
                <c:pt idx="3">
                  <c:v>32</c:v>
                </c:pt>
              </c:numCache>
            </c:numRef>
          </c:val>
          <c:smooth val="0"/>
          <c:extLst>
            <c:ext xmlns:c16="http://schemas.microsoft.com/office/drawing/2014/chart" uri="{C3380CC4-5D6E-409C-BE32-E72D297353CC}">
              <c16:uniqueId val="{0000000F-8F07-41BB-B882-DF869C007911}"/>
            </c:ext>
          </c:extLst>
        </c:ser>
        <c:ser>
          <c:idx val="3"/>
          <c:order val="3"/>
          <c:tx>
            <c:strRef>
              <c:f>'Pivot Table-3'!$E$3:$E$4</c:f>
              <c:strCache>
                <c:ptCount val="1"/>
                <c:pt idx="0">
                  <c:v>4th Rank</c:v>
                </c:pt>
              </c:strCache>
            </c:strRef>
          </c:tx>
          <c:spPr>
            <a:ln w="28575" cap="rnd">
              <a:solidFill>
                <a:schemeClr val="accent4"/>
              </a:solidFill>
              <a:round/>
            </a:ln>
            <a:effectLst/>
          </c:spPr>
          <c:marker>
            <c:symbol val="none"/>
          </c:marker>
          <c:cat>
            <c:multiLvlStrRef>
              <c:f>'Pivot Table-3'!$A$5:$A$13</c:f>
              <c:multiLvlStrCache>
                <c:ptCount val="5"/>
                <c:lvl>
                  <c:pt idx="0">
                    <c:v>Fail</c:v>
                  </c:pt>
                  <c:pt idx="1">
                    <c:v>Pass</c:v>
                  </c:pt>
                  <c:pt idx="2">
                    <c:v>Fail</c:v>
                  </c:pt>
                  <c:pt idx="3">
                    <c:v>Pass</c:v>
                  </c:pt>
                  <c:pt idx="4">
                    <c:v>(blank)</c:v>
                  </c:pt>
                </c:lvl>
                <c:lvl>
                  <c:pt idx="0">
                    <c:v>Female</c:v>
                  </c:pt>
                  <c:pt idx="2">
                    <c:v>Male</c:v>
                  </c:pt>
                  <c:pt idx="4">
                    <c:v>(blank)</c:v>
                  </c:pt>
                </c:lvl>
              </c:multiLvlStrCache>
            </c:multiLvlStrRef>
          </c:cat>
          <c:val>
            <c:numRef>
              <c:f>'Pivot Table-3'!$E$5:$E$13</c:f>
              <c:numCache>
                <c:formatCode>General</c:formatCode>
                <c:ptCount val="5"/>
                <c:pt idx="0">
                  <c:v>13</c:v>
                </c:pt>
                <c:pt idx="1">
                  <c:v>10</c:v>
                </c:pt>
                <c:pt idx="2">
                  <c:v>14</c:v>
                </c:pt>
                <c:pt idx="3">
                  <c:v>9</c:v>
                </c:pt>
              </c:numCache>
            </c:numRef>
          </c:val>
          <c:smooth val="0"/>
          <c:extLst>
            <c:ext xmlns:c16="http://schemas.microsoft.com/office/drawing/2014/chart" uri="{C3380CC4-5D6E-409C-BE32-E72D297353CC}">
              <c16:uniqueId val="{00000010-8F07-41BB-B882-DF869C007911}"/>
            </c:ext>
          </c:extLst>
        </c:ser>
        <c:ser>
          <c:idx val="4"/>
          <c:order val="4"/>
          <c:tx>
            <c:strRef>
              <c:f>'Pivot Table-3'!$F$3:$F$4</c:f>
              <c:strCache>
                <c:ptCount val="1"/>
                <c:pt idx="0">
                  <c:v>5th Rank</c:v>
                </c:pt>
              </c:strCache>
            </c:strRef>
          </c:tx>
          <c:spPr>
            <a:ln w="28575" cap="rnd">
              <a:solidFill>
                <a:schemeClr val="accent5"/>
              </a:solidFill>
              <a:round/>
            </a:ln>
            <a:effectLst/>
          </c:spPr>
          <c:marker>
            <c:symbol val="none"/>
          </c:marker>
          <c:cat>
            <c:multiLvlStrRef>
              <c:f>'Pivot Table-3'!$A$5:$A$13</c:f>
              <c:multiLvlStrCache>
                <c:ptCount val="5"/>
                <c:lvl>
                  <c:pt idx="0">
                    <c:v>Fail</c:v>
                  </c:pt>
                  <c:pt idx="1">
                    <c:v>Pass</c:v>
                  </c:pt>
                  <c:pt idx="2">
                    <c:v>Fail</c:v>
                  </c:pt>
                  <c:pt idx="3">
                    <c:v>Pass</c:v>
                  </c:pt>
                  <c:pt idx="4">
                    <c:v>(blank)</c:v>
                  </c:pt>
                </c:lvl>
                <c:lvl>
                  <c:pt idx="0">
                    <c:v>Female</c:v>
                  </c:pt>
                  <c:pt idx="2">
                    <c:v>Male</c:v>
                  </c:pt>
                  <c:pt idx="4">
                    <c:v>(blank)</c:v>
                  </c:pt>
                </c:lvl>
              </c:multiLvlStrCache>
            </c:multiLvlStrRef>
          </c:cat>
          <c:val>
            <c:numRef>
              <c:f>'Pivot Table-3'!$F$5:$F$13</c:f>
              <c:numCache>
                <c:formatCode>General</c:formatCode>
                <c:ptCount val="5"/>
                <c:pt idx="0">
                  <c:v>8</c:v>
                </c:pt>
                <c:pt idx="2">
                  <c:v>9</c:v>
                </c:pt>
              </c:numCache>
            </c:numRef>
          </c:val>
          <c:smooth val="0"/>
          <c:extLst>
            <c:ext xmlns:c16="http://schemas.microsoft.com/office/drawing/2014/chart" uri="{C3380CC4-5D6E-409C-BE32-E72D297353CC}">
              <c16:uniqueId val="{00000011-8F07-41BB-B882-DF869C007911}"/>
            </c:ext>
          </c:extLst>
        </c:ser>
        <c:ser>
          <c:idx val="5"/>
          <c:order val="5"/>
          <c:tx>
            <c:strRef>
              <c:f>'Pivot Table-3'!$G$3:$G$4</c:f>
              <c:strCache>
                <c:ptCount val="1"/>
                <c:pt idx="0">
                  <c:v>(blank)</c:v>
                </c:pt>
              </c:strCache>
            </c:strRef>
          </c:tx>
          <c:spPr>
            <a:ln w="28575" cap="rnd">
              <a:solidFill>
                <a:schemeClr val="accent6"/>
              </a:solidFill>
              <a:round/>
            </a:ln>
            <a:effectLst/>
          </c:spPr>
          <c:marker>
            <c:symbol val="none"/>
          </c:marker>
          <c:cat>
            <c:multiLvlStrRef>
              <c:f>'Pivot Table-3'!$A$5:$A$13</c:f>
              <c:multiLvlStrCache>
                <c:ptCount val="5"/>
                <c:lvl>
                  <c:pt idx="0">
                    <c:v>Fail</c:v>
                  </c:pt>
                  <c:pt idx="1">
                    <c:v>Pass</c:v>
                  </c:pt>
                  <c:pt idx="2">
                    <c:v>Fail</c:v>
                  </c:pt>
                  <c:pt idx="3">
                    <c:v>Pass</c:v>
                  </c:pt>
                  <c:pt idx="4">
                    <c:v>(blank)</c:v>
                  </c:pt>
                </c:lvl>
                <c:lvl>
                  <c:pt idx="0">
                    <c:v>Female</c:v>
                  </c:pt>
                  <c:pt idx="2">
                    <c:v>Male</c:v>
                  </c:pt>
                  <c:pt idx="4">
                    <c:v>(blank)</c:v>
                  </c:pt>
                </c:lvl>
              </c:multiLvlStrCache>
            </c:multiLvlStrRef>
          </c:cat>
          <c:val>
            <c:numRef>
              <c:f>'Pivot Table-3'!$G$5:$G$13</c:f>
              <c:numCache>
                <c:formatCode>General</c:formatCode>
                <c:ptCount val="5"/>
              </c:numCache>
            </c:numRef>
          </c:val>
          <c:smooth val="0"/>
          <c:extLst>
            <c:ext xmlns:c16="http://schemas.microsoft.com/office/drawing/2014/chart" uri="{C3380CC4-5D6E-409C-BE32-E72D297353CC}">
              <c16:uniqueId val="{00000012-8F07-41BB-B882-DF869C007911}"/>
            </c:ext>
          </c:extLst>
        </c:ser>
        <c:dLbls>
          <c:showLegendKey val="0"/>
          <c:showVal val="0"/>
          <c:showCatName val="0"/>
          <c:showSerName val="0"/>
          <c:showPercent val="0"/>
          <c:showBubbleSize val="0"/>
        </c:dLbls>
        <c:smooth val="0"/>
        <c:axId val="1047601664"/>
        <c:axId val="1317879392"/>
      </c:lineChart>
      <c:catAx>
        <c:axId val="1047601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B0F0"/>
                    </a:solidFill>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879392"/>
        <c:crosses val="autoZero"/>
        <c:auto val="1"/>
        <c:lblAlgn val="ctr"/>
        <c:lblOffset val="100"/>
        <c:noMultiLvlLbl val="0"/>
      </c:catAx>
      <c:valAx>
        <c:axId val="1317879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B0F0"/>
                    </a:solidFill>
                  </a:rPr>
                  <a:t>Cou</a:t>
                </a:r>
                <a:r>
                  <a:rPr lang="en-IN" b="1" baseline="0">
                    <a:solidFill>
                      <a:srgbClr val="00B0F0"/>
                    </a:solidFill>
                  </a:rPr>
                  <a:t>nt of Status</a:t>
                </a:r>
                <a:endParaRPr lang="en-IN" b="1">
                  <a:solidFill>
                    <a:srgbClr val="00B0F0"/>
                  </a:solidFill>
                </a:endParaRPr>
              </a:p>
            </c:rich>
          </c:tx>
          <c:layout>
            <c:manualLayout>
              <c:xMode val="edge"/>
              <c:yMode val="edge"/>
              <c:x val="2.7777777777777776E-2"/>
              <c:y val="0.2299500583260425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60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B050"/>
                </a:solidFill>
              </a:rPr>
              <a:t>Total</a:t>
            </a:r>
            <a:r>
              <a:rPr lang="en-IN" b="1" baseline="0">
                <a:solidFill>
                  <a:srgbClr val="00B050"/>
                </a:solidFill>
              </a:rPr>
              <a:t> Marks</a:t>
            </a:r>
            <a:endParaRPr lang="en-IN" b="1">
              <a:solidFill>
                <a:srgbClr val="00B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'Pivot Table-1'!$B$3:$B$4</c:f>
              <c:strCache>
                <c:ptCount val="1"/>
                <c:pt idx="0">
                  <c:v>Female</c:v>
                </c:pt>
              </c:strCache>
            </c:strRef>
          </c:tx>
          <c:spPr>
            <a:solidFill>
              <a:schemeClr val="accent1"/>
            </a:solidFill>
            <a:ln>
              <a:noFill/>
            </a:ln>
            <a:effectLst/>
          </c:spPr>
          <c:invertIfNegative val="0"/>
          <c:cat>
            <c:multiLvlStrRef>
              <c:f>'Pivot Table-1'!$A$5:$A$151</c:f>
              <c:multiLvlStrCache>
                <c:ptCount val="136"/>
                <c:lvl>
                  <c:pt idx="0">
                    <c:v>(blank)</c:v>
                  </c:pt>
                  <c:pt idx="1">
                    <c:v>Aakash</c:v>
                  </c:pt>
                  <c:pt idx="2">
                    <c:v>Addison</c:v>
                  </c:pt>
                  <c:pt idx="3">
                    <c:v>Adrian</c:v>
                  </c:pt>
                  <c:pt idx="4">
                    <c:v>Ajay</c:v>
                  </c:pt>
                  <c:pt idx="5">
                    <c:v>Amith</c:v>
                  </c:pt>
                  <c:pt idx="6">
                    <c:v>Ardian</c:v>
                  </c:pt>
                  <c:pt idx="7">
                    <c:v>Arjun</c:v>
                  </c:pt>
                  <c:pt idx="8">
                    <c:v>Ashok</c:v>
                  </c:pt>
                  <c:pt idx="9">
                    <c:v>Bella</c:v>
                  </c:pt>
                  <c:pt idx="10">
                    <c:v>Devid</c:v>
                  </c:pt>
                  <c:pt idx="11">
                    <c:v>Ellie</c:v>
                  </c:pt>
                  <c:pt idx="12">
                    <c:v>Emma</c:v>
                  </c:pt>
                  <c:pt idx="13">
                    <c:v>Evan</c:v>
                  </c:pt>
                  <c:pt idx="14">
                    <c:v>Gabriella</c:v>
                  </c:pt>
                  <c:pt idx="15">
                    <c:v>Hailey</c:v>
                  </c:pt>
                  <c:pt idx="16">
                    <c:v>Hunter</c:v>
                  </c:pt>
                  <c:pt idx="17">
                    <c:v>Jason</c:v>
                  </c:pt>
                  <c:pt idx="18">
                    <c:v>John</c:v>
                  </c:pt>
                  <c:pt idx="19">
                    <c:v>Jordan</c:v>
                  </c:pt>
                  <c:pt idx="20">
                    <c:v>Joseph</c:v>
                  </c:pt>
                  <c:pt idx="21">
                    <c:v>Kaveri</c:v>
                  </c:pt>
                  <c:pt idx="22">
                    <c:v>Kiyara</c:v>
                  </c:pt>
                  <c:pt idx="23">
                    <c:v>Krithi</c:v>
                  </c:pt>
                  <c:pt idx="24">
                    <c:v>Luna</c:v>
                  </c:pt>
                  <c:pt idx="25">
                    <c:v>Mia</c:v>
                  </c:pt>
                  <c:pt idx="26">
                    <c:v>Natalie</c:v>
                  </c:pt>
                  <c:pt idx="27">
                    <c:v>Samantha</c:v>
                  </c:pt>
                  <c:pt idx="28">
                    <c:v>Sean</c:v>
                  </c:pt>
                  <c:pt idx="29">
                    <c:v>Smitha</c:v>
                  </c:pt>
                  <c:pt idx="30">
                    <c:v>Sreedhar</c:v>
                  </c:pt>
                  <c:pt idx="31">
                    <c:v>Srija</c:v>
                  </c:pt>
                  <c:pt idx="32">
                    <c:v>Srinu</c:v>
                  </c:pt>
                  <c:pt idx="33">
                    <c:v>Sudheer</c:v>
                  </c:pt>
                  <c:pt idx="34">
                    <c:v>Taylore</c:v>
                  </c:pt>
                  <c:pt idx="35">
                    <c:v>Tina</c:v>
                  </c:pt>
                  <c:pt idx="36">
                    <c:v>Trevor</c:v>
                  </c:pt>
                  <c:pt idx="37">
                    <c:v>Aaron</c:v>
                  </c:pt>
                  <c:pt idx="38">
                    <c:v>Albert</c:v>
                  </c:pt>
                  <c:pt idx="39">
                    <c:v>Anshu</c:v>
                  </c:pt>
                  <c:pt idx="40">
                    <c:v>Ashok</c:v>
                  </c:pt>
                  <c:pt idx="41">
                    <c:v>Bharath</c:v>
                  </c:pt>
                  <c:pt idx="42">
                    <c:v>Claire</c:v>
                  </c:pt>
                  <c:pt idx="43">
                    <c:v>Daisy</c:v>
                  </c:pt>
                  <c:pt idx="44">
                    <c:v>Devid</c:v>
                  </c:pt>
                  <c:pt idx="45">
                    <c:v>Eligibeth</c:v>
                  </c:pt>
                  <c:pt idx="46">
                    <c:v>Ellie</c:v>
                  </c:pt>
                  <c:pt idx="47">
                    <c:v>Emma</c:v>
                  </c:pt>
                  <c:pt idx="48">
                    <c:v>Jade</c:v>
                  </c:pt>
                  <c:pt idx="49">
                    <c:v>Kayla</c:v>
                  </c:pt>
                  <c:pt idx="50">
                    <c:v>Krithi</c:v>
                  </c:pt>
                  <c:pt idx="51">
                    <c:v>Lillian</c:v>
                  </c:pt>
                  <c:pt idx="52">
                    <c:v>Mia</c:v>
                  </c:pt>
                  <c:pt idx="53">
                    <c:v>Paisley</c:v>
                  </c:pt>
                  <c:pt idx="54">
                    <c:v>Parker</c:v>
                  </c:pt>
                  <c:pt idx="55">
                    <c:v>Sameera</c:v>
                  </c:pt>
                  <c:pt idx="56">
                    <c:v>Sean</c:v>
                  </c:pt>
                  <c:pt idx="57">
                    <c:v>Smitha</c:v>
                  </c:pt>
                  <c:pt idx="58">
                    <c:v>Sophiya</c:v>
                  </c:pt>
                  <c:pt idx="59">
                    <c:v>Sreeja</c:v>
                  </c:pt>
                  <c:pt idx="60">
                    <c:v>Sritha</c:v>
                  </c:pt>
                  <c:pt idx="61">
                    <c:v>Amith</c:v>
                  </c:pt>
                  <c:pt idx="62">
                    <c:v>Arjun</c:v>
                  </c:pt>
                  <c:pt idx="63">
                    <c:v>Ashok</c:v>
                  </c:pt>
                  <c:pt idx="64">
                    <c:v>Camila</c:v>
                  </c:pt>
                  <c:pt idx="65">
                    <c:v>Devid</c:v>
                  </c:pt>
                  <c:pt idx="66">
                    <c:v>Eligibeth</c:v>
                  </c:pt>
                  <c:pt idx="67">
                    <c:v>Everly</c:v>
                  </c:pt>
                  <c:pt idx="68">
                    <c:v>Hailey</c:v>
                  </c:pt>
                  <c:pt idx="69">
                    <c:v>Joseph</c:v>
                  </c:pt>
                  <c:pt idx="70">
                    <c:v>Krish</c:v>
                  </c:pt>
                  <c:pt idx="71">
                    <c:v>Ram</c:v>
                  </c:pt>
                  <c:pt idx="72">
                    <c:v>Sharadha</c:v>
                  </c:pt>
                  <c:pt idx="73">
                    <c:v>Sohel</c:v>
                  </c:pt>
                  <c:pt idx="74">
                    <c:v>Srinu</c:v>
                  </c:pt>
                  <c:pt idx="75">
                    <c:v>Susmitha</c:v>
                  </c:pt>
                  <c:pt idx="76">
                    <c:v>Aaron</c:v>
                  </c:pt>
                  <c:pt idx="77">
                    <c:v>Abhishek</c:v>
                  </c:pt>
                  <c:pt idx="78">
                    <c:v>Ajith</c:v>
                  </c:pt>
                  <c:pt idx="79">
                    <c:v>Amith</c:v>
                  </c:pt>
                  <c:pt idx="80">
                    <c:v>Amrith</c:v>
                  </c:pt>
                  <c:pt idx="81">
                    <c:v>Bharath</c:v>
                  </c:pt>
                  <c:pt idx="82">
                    <c:v>Eligibeth</c:v>
                  </c:pt>
                  <c:pt idx="83">
                    <c:v>Emma</c:v>
                  </c:pt>
                  <c:pt idx="84">
                    <c:v>Jason</c:v>
                  </c:pt>
                  <c:pt idx="85">
                    <c:v>Kaml</c:v>
                  </c:pt>
                  <c:pt idx="86">
                    <c:v>Kiran</c:v>
                  </c:pt>
                  <c:pt idx="87">
                    <c:v>Kiyara</c:v>
                  </c:pt>
                  <c:pt idx="88">
                    <c:v>Kyle</c:v>
                  </c:pt>
                  <c:pt idx="89">
                    <c:v>Lucas</c:v>
                  </c:pt>
                  <c:pt idx="90">
                    <c:v>Luna</c:v>
                  </c:pt>
                  <c:pt idx="91">
                    <c:v>Mano</c:v>
                  </c:pt>
                  <c:pt idx="92">
                    <c:v>Mia</c:v>
                  </c:pt>
                  <c:pt idx="93">
                    <c:v>Sahasra</c:v>
                  </c:pt>
                  <c:pt idx="94">
                    <c:v>Sekhar</c:v>
                  </c:pt>
                  <c:pt idx="95">
                    <c:v>Smitha</c:v>
                  </c:pt>
                  <c:pt idx="96">
                    <c:v>Sneha</c:v>
                  </c:pt>
                  <c:pt idx="97">
                    <c:v>Srasti</c:v>
                  </c:pt>
                  <c:pt idx="98">
                    <c:v>Sreedhar</c:v>
                  </c:pt>
                  <c:pt idx="99">
                    <c:v>Sudheer</c:v>
                  </c:pt>
                  <c:pt idx="100">
                    <c:v>Taylore</c:v>
                  </c:pt>
                  <c:pt idx="101">
                    <c:v>Tina</c:v>
                  </c:pt>
                  <c:pt idx="102">
                    <c:v>Ava</c:v>
                  </c:pt>
                  <c:pt idx="103">
                    <c:v>Devid</c:v>
                  </c:pt>
                  <c:pt idx="104">
                    <c:v>Emma</c:v>
                  </c:pt>
                  <c:pt idx="105">
                    <c:v>Isaac</c:v>
                  </c:pt>
                  <c:pt idx="106">
                    <c:v>John</c:v>
                  </c:pt>
                  <c:pt idx="107">
                    <c:v>Shuhas</c:v>
                  </c:pt>
                  <c:pt idx="108">
                    <c:v>Smitha</c:v>
                  </c:pt>
                  <c:pt idx="109">
                    <c:v>Arjun</c:v>
                  </c:pt>
                  <c:pt idx="110">
                    <c:v>Chloe</c:v>
                  </c:pt>
                  <c:pt idx="111">
                    <c:v>Jordan</c:v>
                  </c:pt>
                  <c:pt idx="112">
                    <c:v>Kiyara</c:v>
                  </c:pt>
                  <c:pt idx="113">
                    <c:v>Susma</c:v>
                  </c:pt>
                  <c:pt idx="114">
                    <c:v>Taylore</c:v>
                  </c:pt>
                  <c:pt idx="115">
                    <c:v>Anirudh</c:v>
                  </c:pt>
                  <c:pt idx="116">
                    <c:v>Anshu</c:v>
                  </c:pt>
                  <c:pt idx="117">
                    <c:v>Anurag</c:v>
                  </c:pt>
                  <c:pt idx="118">
                    <c:v>Bhagya</c:v>
                  </c:pt>
                  <c:pt idx="119">
                    <c:v>Bharani</c:v>
                  </c:pt>
                  <c:pt idx="120">
                    <c:v>Gokul</c:v>
                  </c:pt>
                  <c:pt idx="121">
                    <c:v>Krishna</c:v>
                  </c:pt>
                  <c:pt idx="122">
                    <c:v>Smitha</c:v>
                  </c:pt>
                  <c:pt idx="123">
                    <c:v>Sohel</c:v>
                  </c:pt>
                  <c:pt idx="124">
                    <c:v>Suman </c:v>
                  </c:pt>
                  <c:pt idx="125">
                    <c:v>Sumanth</c:v>
                  </c:pt>
                  <c:pt idx="126">
                    <c:v>Susuila</c:v>
                  </c:pt>
                  <c:pt idx="127">
                    <c:v>Thanuja</c:v>
                  </c:pt>
                  <c:pt idx="128">
                    <c:v>Balaji</c:v>
                  </c:pt>
                  <c:pt idx="129">
                    <c:v>Bhargav</c:v>
                  </c:pt>
                  <c:pt idx="130">
                    <c:v>Bindhu</c:v>
                  </c:pt>
                  <c:pt idx="131">
                    <c:v>Hema</c:v>
                  </c:pt>
                  <c:pt idx="132">
                    <c:v>Hemanth</c:v>
                  </c:pt>
                  <c:pt idx="133">
                    <c:v>Lavanya</c:v>
                  </c:pt>
                  <c:pt idx="134">
                    <c:v>Nag</c:v>
                  </c:pt>
                  <c:pt idx="135">
                    <c:v>Chaithanya</c:v>
                  </c:pt>
                </c:lvl>
                <c:lvl>
                  <c:pt idx="0">
                    <c:v>(blank)</c:v>
                  </c:pt>
                  <c:pt idx="1">
                    <c:v>1001-1300</c:v>
                  </c:pt>
                  <c:pt idx="37">
                    <c:v>1301-1600</c:v>
                  </c:pt>
                  <c:pt idx="61">
                    <c:v>1601-1900</c:v>
                  </c:pt>
                  <c:pt idx="76">
                    <c:v>1901-2200</c:v>
                  </c:pt>
                  <c:pt idx="102">
                    <c:v>2201-2500</c:v>
                  </c:pt>
                  <c:pt idx="109">
                    <c:v>2501-2800</c:v>
                  </c:pt>
                  <c:pt idx="115">
                    <c:v>2801-3100</c:v>
                  </c:pt>
                  <c:pt idx="128">
                    <c:v>3101-3400</c:v>
                  </c:pt>
                  <c:pt idx="135">
                    <c:v>3401-3700</c:v>
                  </c:pt>
                </c:lvl>
              </c:multiLvlStrCache>
            </c:multiLvlStrRef>
          </c:cat>
          <c:val>
            <c:numRef>
              <c:f>'Pivot Table-1'!$B$5:$B$151</c:f>
              <c:numCache>
                <c:formatCode>General</c:formatCode>
                <c:ptCount val="136"/>
                <c:pt idx="9">
                  <c:v>139</c:v>
                </c:pt>
                <c:pt idx="11">
                  <c:v>94</c:v>
                </c:pt>
                <c:pt idx="12">
                  <c:v>155</c:v>
                </c:pt>
                <c:pt idx="14">
                  <c:v>132</c:v>
                </c:pt>
                <c:pt idx="21">
                  <c:v>98</c:v>
                </c:pt>
                <c:pt idx="22">
                  <c:v>286</c:v>
                </c:pt>
                <c:pt idx="23">
                  <c:v>148</c:v>
                </c:pt>
                <c:pt idx="24">
                  <c:v>127</c:v>
                </c:pt>
                <c:pt idx="25">
                  <c:v>174</c:v>
                </c:pt>
                <c:pt idx="27">
                  <c:v>243</c:v>
                </c:pt>
                <c:pt idx="29">
                  <c:v>154</c:v>
                </c:pt>
                <c:pt idx="31">
                  <c:v>182</c:v>
                </c:pt>
                <c:pt idx="35">
                  <c:v>243</c:v>
                </c:pt>
                <c:pt idx="39">
                  <c:v>91</c:v>
                </c:pt>
                <c:pt idx="42">
                  <c:v>177</c:v>
                </c:pt>
                <c:pt idx="43">
                  <c:v>106</c:v>
                </c:pt>
                <c:pt idx="45">
                  <c:v>210</c:v>
                </c:pt>
                <c:pt idx="46">
                  <c:v>107</c:v>
                </c:pt>
                <c:pt idx="47">
                  <c:v>113</c:v>
                </c:pt>
                <c:pt idx="49">
                  <c:v>143</c:v>
                </c:pt>
                <c:pt idx="50">
                  <c:v>135</c:v>
                </c:pt>
                <c:pt idx="51">
                  <c:v>145</c:v>
                </c:pt>
                <c:pt idx="52">
                  <c:v>48</c:v>
                </c:pt>
                <c:pt idx="55">
                  <c:v>91</c:v>
                </c:pt>
                <c:pt idx="57">
                  <c:v>98</c:v>
                </c:pt>
                <c:pt idx="58">
                  <c:v>97</c:v>
                </c:pt>
                <c:pt idx="59">
                  <c:v>134</c:v>
                </c:pt>
                <c:pt idx="60">
                  <c:v>123</c:v>
                </c:pt>
                <c:pt idx="64">
                  <c:v>142</c:v>
                </c:pt>
                <c:pt idx="66">
                  <c:v>99</c:v>
                </c:pt>
                <c:pt idx="67">
                  <c:v>85</c:v>
                </c:pt>
                <c:pt idx="72">
                  <c:v>135</c:v>
                </c:pt>
                <c:pt idx="75">
                  <c:v>68</c:v>
                </c:pt>
                <c:pt idx="82">
                  <c:v>130</c:v>
                </c:pt>
                <c:pt idx="83">
                  <c:v>94</c:v>
                </c:pt>
                <c:pt idx="87">
                  <c:v>337</c:v>
                </c:pt>
                <c:pt idx="88">
                  <c:v>120</c:v>
                </c:pt>
                <c:pt idx="90">
                  <c:v>259</c:v>
                </c:pt>
                <c:pt idx="91">
                  <c:v>173</c:v>
                </c:pt>
                <c:pt idx="92">
                  <c:v>143</c:v>
                </c:pt>
                <c:pt idx="93">
                  <c:v>139</c:v>
                </c:pt>
                <c:pt idx="95">
                  <c:v>67</c:v>
                </c:pt>
                <c:pt idx="96">
                  <c:v>154</c:v>
                </c:pt>
                <c:pt idx="97">
                  <c:v>155</c:v>
                </c:pt>
                <c:pt idx="100">
                  <c:v>143</c:v>
                </c:pt>
                <c:pt idx="101">
                  <c:v>70</c:v>
                </c:pt>
                <c:pt idx="102">
                  <c:v>103</c:v>
                </c:pt>
                <c:pt idx="104">
                  <c:v>131</c:v>
                </c:pt>
                <c:pt idx="105">
                  <c:v>144</c:v>
                </c:pt>
                <c:pt idx="108">
                  <c:v>113</c:v>
                </c:pt>
                <c:pt idx="110">
                  <c:v>55</c:v>
                </c:pt>
                <c:pt idx="112">
                  <c:v>85</c:v>
                </c:pt>
                <c:pt idx="113">
                  <c:v>105</c:v>
                </c:pt>
                <c:pt idx="116">
                  <c:v>110</c:v>
                </c:pt>
                <c:pt idx="118">
                  <c:v>86</c:v>
                </c:pt>
                <c:pt idx="122">
                  <c:v>141</c:v>
                </c:pt>
                <c:pt idx="126">
                  <c:v>80</c:v>
                </c:pt>
                <c:pt idx="127">
                  <c:v>116</c:v>
                </c:pt>
                <c:pt idx="130">
                  <c:v>146</c:v>
                </c:pt>
                <c:pt idx="131">
                  <c:v>125</c:v>
                </c:pt>
                <c:pt idx="133">
                  <c:v>124</c:v>
                </c:pt>
              </c:numCache>
            </c:numRef>
          </c:val>
          <c:extLst>
            <c:ext xmlns:c16="http://schemas.microsoft.com/office/drawing/2014/chart" uri="{C3380CC4-5D6E-409C-BE32-E72D297353CC}">
              <c16:uniqueId val="{00000000-AF6A-4542-93F2-29EF0421AB06}"/>
            </c:ext>
          </c:extLst>
        </c:ser>
        <c:ser>
          <c:idx val="1"/>
          <c:order val="1"/>
          <c:tx>
            <c:strRef>
              <c:f>'Pivot Table-1'!$C$3:$C$4</c:f>
              <c:strCache>
                <c:ptCount val="1"/>
                <c:pt idx="0">
                  <c:v>Male</c:v>
                </c:pt>
              </c:strCache>
            </c:strRef>
          </c:tx>
          <c:spPr>
            <a:solidFill>
              <a:schemeClr val="accent2"/>
            </a:solidFill>
            <a:ln>
              <a:noFill/>
            </a:ln>
            <a:effectLst/>
          </c:spPr>
          <c:invertIfNegative val="0"/>
          <c:cat>
            <c:multiLvlStrRef>
              <c:f>'Pivot Table-1'!$A$5:$A$151</c:f>
              <c:multiLvlStrCache>
                <c:ptCount val="136"/>
                <c:lvl>
                  <c:pt idx="0">
                    <c:v>(blank)</c:v>
                  </c:pt>
                  <c:pt idx="1">
                    <c:v>Aakash</c:v>
                  </c:pt>
                  <c:pt idx="2">
                    <c:v>Addison</c:v>
                  </c:pt>
                  <c:pt idx="3">
                    <c:v>Adrian</c:v>
                  </c:pt>
                  <c:pt idx="4">
                    <c:v>Ajay</c:v>
                  </c:pt>
                  <c:pt idx="5">
                    <c:v>Amith</c:v>
                  </c:pt>
                  <c:pt idx="6">
                    <c:v>Ardian</c:v>
                  </c:pt>
                  <c:pt idx="7">
                    <c:v>Arjun</c:v>
                  </c:pt>
                  <c:pt idx="8">
                    <c:v>Ashok</c:v>
                  </c:pt>
                  <c:pt idx="9">
                    <c:v>Bella</c:v>
                  </c:pt>
                  <c:pt idx="10">
                    <c:v>Devid</c:v>
                  </c:pt>
                  <c:pt idx="11">
                    <c:v>Ellie</c:v>
                  </c:pt>
                  <c:pt idx="12">
                    <c:v>Emma</c:v>
                  </c:pt>
                  <c:pt idx="13">
                    <c:v>Evan</c:v>
                  </c:pt>
                  <c:pt idx="14">
                    <c:v>Gabriella</c:v>
                  </c:pt>
                  <c:pt idx="15">
                    <c:v>Hailey</c:v>
                  </c:pt>
                  <c:pt idx="16">
                    <c:v>Hunter</c:v>
                  </c:pt>
                  <c:pt idx="17">
                    <c:v>Jason</c:v>
                  </c:pt>
                  <c:pt idx="18">
                    <c:v>John</c:v>
                  </c:pt>
                  <c:pt idx="19">
                    <c:v>Jordan</c:v>
                  </c:pt>
                  <c:pt idx="20">
                    <c:v>Joseph</c:v>
                  </c:pt>
                  <c:pt idx="21">
                    <c:v>Kaveri</c:v>
                  </c:pt>
                  <c:pt idx="22">
                    <c:v>Kiyara</c:v>
                  </c:pt>
                  <c:pt idx="23">
                    <c:v>Krithi</c:v>
                  </c:pt>
                  <c:pt idx="24">
                    <c:v>Luna</c:v>
                  </c:pt>
                  <c:pt idx="25">
                    <c:v>Mia</c:v>
                  </c:pt>
                  <c:pt idx="26">
                    <c:v>Natalie</c:v>
                  </c:pt>
                  <c:pt idx="27">
                    <c:v>Samantha</c:v>
                  </c:pt>
                  <c:pt idx="28">
                    <c:v>Sean</c:v>
                  </c:pt>
                  <c:pt idx="29">
                    <c:v>Smitha</c:v>
                  </c:pt>
                  <c:pt idx="30">
                    <c:v>Sreedhar</c:v>
                  </c:pt>
                  <c:pt idx="31">
                    <c:v>Srija</c:v>
                  </c:pt>
                  <c:pt idx="32">
                    <c:v>Srinu</c:v>
                  </c:pt>
                  <c:pt idx="33">
                    <c:v>Sudheer</c:v>
                  </c:pt>
                  <c:pt idx="34">
                    <c:v>Taylore</c:v>
                  </c:pt>
                  <c:pt idx="35">
                    <c:v>Tina</c:v>
                  </c:pt>
                  <c:pt idx="36">
                    <c:v>Trevor</c:v>
                  </c:pt>
                  <c:pt idx="37">
                    <c:v>Aaron</c:v>
                  </c:pt>
                  <c:pt idx="38">
                    <c:v>Albert</c:v>
                  </c:pt>
                  <c:pt idx="39">
                    <c:v>Anshu</c:v>
                  </c:pt>
                  <c:pt idx="40">
                    <c:v>Ashok</c:v>
                  </c:pt>
                  <c:pt idx="41">
                    <c:v>Bharath</c:v>
                  </c:pt>
                  <c:pt idx="42">
                    <c:v>Claire</c:v>
                  </c:pt>
                  <c:pt idx="43">
                    <c:v>Daisy</c:v>
                  </c:pt>
                  <c:pt idx="44">
                    <c:v>Devid</c:v>
                  </c:pt>
                  <c:pt idx="45">
                    <c:v>Eligibeth</c:v>
                  </c:pt>
                  <c:pt idx="46">
                    <c:v>Ellie</c:v>
                  </c:pt>
                  <c:pt idx="47">
                    <c:v>Emma</c:v>
                  </c:pt>
                  <c:pt idx="48">
                    <c:v>Jade</c:v>
                  </c:pt>
                  <c:pt idx="49">
                    <c:v>Kayla</c:v>
                  </c:pt>
                  <c:pt idx="50">
                    <c:v>Krithi</c:v>
                  </c:pt>
                  <c:pt idx="51">
                    <c:v>Lillian</c:v>
                  </c:pt>
                  <c:pt idx="52">
                    <c:v>Mia</c:v>
                  </c:pt>
                  <c:pt idx="53">
                    <c:v>Paisley</c:v>
                  </c:pt>
                  <c:pt idx="54">
                    <c:v>Parker</c:v>
                  </c:pt>
                  <c:pt idx="55">
                    <c:v>Sameera</c:v>
                  </c:pt>
                  <c:pt idx="56">
                    <c:v>Sean</c:v>
                  </c:pt>
                  <c:pt idx="57">
                    <c:v>Smitha</c:v>
                  </c:pt>
                  <c:pt idx="58">
                    <c:v>Sophiya</c:v>
                  </c:pt>
                  <c:pt idx="59">
                    <c:v>Sreeja</c:v>
                  </c:pt>
                  <c:pt idx="60">
                    <c:v>Sritha</c:v>
                  </c:pt>
                  <c:pt idx="61">
                    <c:v>Amith</c:v>
                  </c:pt>
                  <c:pt idx="62">
                    <c:v>Arjun</c:v>
                  </c:pt>
                  <c:pt idx="63">
                    <c:v>Ashok</c:v>
                  </c:pt>
                  <c:pt idx="64">
                    <c:v>Camila</c:v>
                  </c:pt>
                  <c:pt idx="65">
                    <c:v>Devid</c:v>
                  </c:pt>
                  <c:pt idx="66">
                    <c:v>Eligibeth</c:v>
                  </c:pt>
                  <c:pt idx="67">
                    <c:v>Everly</c:v>
                  </c:pt>
                  <c:pt idx="68">
                    <c:v>Hailey</c:v>
                  </c:pt>
                  <c:pt idx="69">
                    <c:v>Joseph</c:v>
                  </c:pt>
                  <c:pt idx="70">
                    <c:v>Krish</c:v>
                  </c:pt>
                  <c:pt idx="71">
                    <c:v>Ram</c:v>
                  </c:pt>
                  <c:pt idx="72">
                    <c:v>Sharadha</c:v>
                  </c:pt>
                  <c:pt idx="73">
                    <c:v>Sohel</c:v>
                  </c:pt>
                  <c:pt idx="74">
                    <c:v>Srinu</c:v>
                  </c:pt>
                  <c:pt idx="75">
                    <c:v>Susmitha</c:v>
                  </c:pt>
                  <c:pt idx="76">
                    <c:v>Aaron</c:v>
                  </c:pt>
                  <c:pt idx="77">
                    <c:v>Abhishek</c:v>
                  </c:pt>
                  <c:pt idx="78">
                    <c:v>Ajith</c:v>
                  </c:pt>
                  <c:pt idx="79">
                    <c:v>Amith</c:v>
                  </c:pt>
                  <c:pt idx="80">
                    <c:v>Amrith</c:v>
                  </c:pt>
                  <c:pt idx="81">
                    <c:v>Bharath</c:v>
                  </c:pt>
                  <c:pt idx="82">
                    <c:v>Eligibeth</c:v>
                  </c:pt>
                  <c:pt idx="83">
                    <c:v>Emma</c:v>
                  </c:pt>
                  <c:pt idx="84">
                    <c:v>Jason</c:v>
                  </c:pt>
                  <c:pt idx="85">
                    <c:v>Kaml</c:v>
                  </c:pt>
                  <c:pt idx="86">
                    <c:v>Kiran</c:v>
                  </c:pt>
                  <c:pt idx="87">
                    <c:v>Kiyara</c:v>
                  </c:pt>
                  <c:pt idx="88">
                    <c:v>Kyle</c:v>
                  </c:pt>
                  <c:pt idx="89">
                    <c:v>Lucas</c:v>
                  </c:pt>
                  <c:pt idx="90">
                    <c:v>Luna</c:v>
                  </c:pt>
                  <c:pt idx="91">
                    <c:v>Mano</c:v>
                  </c:pt>
                  <c:pt idx="92">
                    <c:v>Mia</c:v>
                  </c:pt>
                  <c:pt idx="93">
                    <c:v>Sahasra</c:v>
                  </c:pt>
                  <c:pt idx="94">
                    <c:v>Sekhar</c:v>
                  </c:pt>
                  <c:pt idx="95">
                    <c:v>Smitha</c:v>
                  </c:pt>
                  <c:pt idx="96">
                    <c:v>Sneha</c:v>
                  </c:pt>
                  <c:pt idx="97">
                    <c:v>Srasti</c:v>
                  </c:pt>
                  <c:pt idx="98">
                    <c:v>Sreedhar</c:v>
                  </c:pt>
                  <c:pt idx="99">
                    <c:v>Sudheer</c:v>
                  </c:pt>
                  <c:pt idx="100">
                    <c:v>Taylore</c:v>
                  </c:pt>
                  <c:pt idx="101">
                    <c:v>Tina</c:v>
                  </c:pt>
                  <c:pt idx="102">
                    <c:v>Ava</c:v>
                  </c:pt>
                  <c:pt idx="103">
                    <c:v>Devid</c:v>
                  </c:pt>
                  <c:pt idx="104">
                    <c:v>Emma</c:v>
                  </c:pt>
                  <c:pt idx="105">
                    <c:v>Isaac</c:v>
                  </c:pt>
                  <c:pt idx="106">
                    <c:v>John</c:v>
                  </c:pt>
                  <c:pt idx="107">
                    <c:v>Shuhas</c:v>
                  </c:pt>
                  <c:pt idx="108">
                    <c:v>Smitha</c:v>
                  </c:pt>
                  <c:pt idx="109">
                    <c:v>Arjun</c:v>
                  </c:pt>
                  <c:pt idx="110">
                    <c:v>Chloe</c:v>
                  </c:pt>
                  <c:pt idx="111">
                    <c:v>Jordan</c:v>
                  </c:pt>
                  <c:pt idx="112">
                    <c:v>Kiyara</c:v>
                  </c:pt>
                  <c:pt idx="113">
                    <c:v>Susma</c:v>
                  </c:pt>
                  <c:pt idx="114">
                    <c:v>Taylore</c:v>
                  </c:pt>
                  <c:pt idx="115">
                    <c:v>Anirudh</c:v>
                  </c:pt>
                  <c:pt idx="116">
                    <c:v>Anshu</c:v>
                  </c:pt>
                  <c:pt idx="117">
                    <c:v>Anurag</c:v>
                  </c:pt>
                  <c:pt idx="118">
                    <c:v>Bhagya</c:v>
                  </c:pt>
                  <c:pt idx="119">
                    <c:v>Bharani</c:v>
                  </c:pt>
                  <c:pt idx="120">
                    <c:v>Gokul</c:v>
                  </c:pt>
                  <c:pt idx="121">
                    <c:v>Krishna</c:v>
                  </c:pt>
                  <c:pt idx="122">
                    <c:v>Smitha</c:v>
                  </c:pt>
                  <c:pt idx="123">
                    <c:v>Sohel</c:v>
                  </c:pt>
                  <c:pt idx="124">
                    <c:v>Suman </c:v>
                  </c:pt>
                  <c:pt idx="125">
                    <c:v>Sumanth</c:v>
                  </c:pt>
                  <c:pt idx="126">
                    <c:v>Susuila</c:v>
                  </c:pt>
                  <c:pt idx="127">
                    <c:v>Thanuja</c:v>
                  </c:pt>
                  <c:pt idx="128">
                    <c:v>Balaji</c:v>
                  </c:pt>
                  <c:pt idx="129">
                    <c:v>Bhargav</c:v>
                  </c:pt>
                  <c:pt idx="130">
                    <c:v>Bindhu</c:v>
                  </c:pt>
                  <c:pt idx="131">
                    <c:v>Hema</c:v>
                  </c:pt>
                  <c:pt idx="132">
                    <c:v>Hemanth</c:v>
                  </c:pt>
                  <c:pt idx="133">
                    <c:v>Lavanya</c:v>
                  </c:pt>
                  <c:pt idx="134">
                    <c:v>Nag</c:v>
                  </c:pt>
                  <c:pt idx="135">
                    <c:v>Chaithanya</c:v>
                  </c:pt>
                </c:lvl>
                <c:lvl>
                  <c:pt idx="0">
                    <c:v>(blank)</c:v>
                  </c:pt>
                  <c:pt idx="1">
                    <c:v>1001-1300</c:v>
                  </c:pt>
                  <c:pt idx="37">
                    <c:v>1301-1600</c:v>
                  </c:pt>
                  <c:pt idx="61">
                    <c:v>1601-1900</c:v>
                  </c:pt>
                  <c:pt idx="76">
                    <c:v>1901-2200</c:v>
                  </c:pt>
                  <c:pt idx="102">
                    <c:v>2201-2500</c:v>
                  </c:pt>
                  <c:pt idx="109">
                    <c:v>2501-2800</c:v>
                  </c:pt>
                  <c:pt idx="115">
                    <c:v>2801-3100</c:v>
                  </c:pt>
                  <c:pt idx="128">
                    <c:v>3101-3400</c:v>
                  </c:pt>
                  <c:pt idx="135">
                    <c:v>3401-3700</c:v>
                  </c:pt>
                </c:lvl>
              </c:multiLvlStrCache>
            </c:multiLvlStrRef>
          </c:cat>
          <c:val>
            <c:numRef>
              <c:f>'Pivot Table-1'!$C$5:$C$151</c:f>
              <c:numCache>
                <c:formatCode>General</c:formatCode>
                <c:ptCount val="136"/>
                <c:pt idx="1">
                  <c:v>153</c:v>
                </c:pt>
                <c:pt idx="2">
                  <c:v>164</c:v>
                </c:pt>
                <c:pt idx="3">
                  <c:v>123</c:v>
                </c:pt>
                <c:pt idx="4">
                  <c:v>112</c:v>
                </c:pt>
                <c:pt idx="5">
                  <c:v>212</c:v>
                </c:pt>
                <c:pt idx="6">
                  <c:v>77</c:v>
                </c:pt>
                <c:pt idx="7">
                  <c:v>103</c:v>
                </c:pt>
                <c:pt idx="8">
                  <c:v>259</c:v>
                </c:pt>
                <c:pt idx="10">
                  <c:v>133</c:v>
                </c:pt>
                <c:pt idx="13">
                  <c:v>125</c:v>
                </c:pt>
                <c:pt idx="15">
                  <c:v>107</c:v>
                </c:pt>
                <c:pt idx="16">
                  <c:v>107</c:v>
                </c:pt>
                <c:pt idx="17">
                  <c:v>91</c:v>
                </c:pt>
                <c:pt idx="18">
                  <c:v>229</c:v>
                </c:pt>
                <c:pt idx="19">
                  <c:v>199</c:v>
                </c:pt>
                <c:pt idx="20">
                  <c:v>92</c:v>
                </c:pt>
                <c:pt idx="26">
                  <c:v>100</c:v>
                </c:pt>
                <c:pt idx="28">
                  <c:v>85</c:v>
                </c:pt>
                <c:pt idx="30">
                  <c:v>269</c:v>
                </c:pt>
                <c:pt idx="32">
                  <c:v>129</c:v>
                </c:pt>
                <c:pt idx="33">
                  <c:v>189</c:v>
                </c:pt>
                <c:pt idx="34">
                  <c:v>90</c:v>
                </c:pt>
                <c:pt idx="36">
                  <c:v>69</c:v>
                </c:pt>
                <c:pt idx="37">
                  <c:v>78</c:v>
                </c:pt>
                <c:pt idx="38">
                  <c:v>100</c:v>
                </c:pt>
                <c:pt idx="40">
                  <c:v>120</c:v>
                </c:pt>
                <c:pt idx="41">
                  <c:v>295</c:v>
                </c:pt>
                <c:pt idx="43">
                  <c:v>89</c:v>
                </c:pt>
                <c:pt idx="44">
                  <c:v>127</c:v>
                </c:pt>
                <c:pt idx="48">
                  <c:v>125</c:v>
                </c:pt>
                <c:pt idx="53">
                  <c:v>166</c:v>
                </c:pt>
                <c:pt idx="54">
                  <c:v>135</c:v>
                </c:pt>
                <c:pt idx="56">
                  <c:v>113</c:v>
                </c:pt>
                <c:pt idx="61">
                  <c:v>140</c:v>
                </c:pt>
                <c:pt idx="62">
                  <c:v>156</c:v>
                </c:pt>
                <c:pt idx="63">
                  <c:v>166</c:v>
                </c:pt>
                <c:pt idx="65">
                  <c:v>171</c:v>
                </c:pt>
                <c:pt idx="68">
                  <c:v>87</c:v>
                </c:pt>
                <c:pt idx="69">
                  <c:v>126</c:v>
                </c:pt>
                <c:pt idx="70">
                  <c:v>80</c:v>
                </c:pt>
                <c:pt idx="71">
                  <c:v>127</c:v>
                </c:pt>
                <c:pt idx="73">
                  <c:v>153</c:v>
                </c:pt>
                <c:pt idx="74">
                  <c:v>174</c:v>
                </c:pt>
                <c:pt idx="76">
                  <c:v>127</c:v>
                </c:pt>
                <c:pt idx="77">
                  <c:v>145</c:v>
                </c:pt>
                <c:pt idx="78">
                  <c:v>146</c:v>
                </c:pt>
                <c:pt idx="79">
                  <c:v>55</c:v>
                </c:pt>
                <c:pt idx="80">
                  <c:v>103</c:v>
                </c:pt>
                <c:pt idx="81">
                  <c:v>219</c:v>
                </c:pt>
                <c:pt idx="84">
                  <c:v>138</c:v>
                </c:pt>
                <c:pt idx="85">
                  <c:v>104</c:v>
                </c:pt>
                <c:pt idx="86">
                  <c:v>258</c:v>
                </c:pt>
                <c:pt idx="89">
                  <c:v>94</c:v>
                </c:pt>
                <c:pt idx="94">
                  <c:v>91</c:v>
                </c:pt>
                <c:pt idx="98">
                  <c:v>58</c:v>
                </c:pt>
                <c:pt idx="99">
                  <c:v>164</c:v>
                </c:pt>
                <c:pt idx="103">
                  <c:v>122</c:v>
                </c:pt>
                <c:pt idx="106">
                  <c:v>77</c:v>
                </c:pt>
                <c:pt idx="107">
                  <c:v>88</c:v>
                </c:pt>
                <c:pt idx="109">
                  <c:v>123</c:v>
                </c:pt>
                <c:pt idx="111">
                  <c:v>126</c:v>
                </c:pt>
                <c:pt idx="114">
                  <c:v>176</c:v>
                </c:pt>
                <c:pt idx="115">
                  <c:v>112</c:v>
                </c:pt>
                <c:pt idx="117">
                  <c:v>156</c:v>
                </c:pt>
                <c:pt idx="119">
                  <c:v>143</c:v>
                </c:pt>
                <c:pt idx="120">
                  <c:v>159</c:v>
                </c:pt>
                <c:pt idx="121">
                  <c:v>84</c:v>
                </c:pt>
                <c:pt idx="123">
                  <c:v>134</c:v>
                </c:pt>
                <c:pt idx="124">
                  <c:v>154</c:v>
                </c:pt>
                <c:pt idx="125">
                  <c:v>149</c:v>
                </c:pt>
                <c:pt idx="128">
                  <c:v>123</c:v>
                </c:pt>
                <c:pt idx="129">
                  <c:v>109</c:v>
                </c:pt>
                <c:pt idx="132">
                  <c:v>156</c:v>
                </c:pt>
                <c:pt idx="134">
                  <c:v>172</c:v>
                </c:pt>
                <c:pt idx="135">
                  <c:v>149</c:v>
                </c:pt>
              </c:numCache>
            </c:numRef>
          </c:val>
          <c:extLst>
            <c:ext xmlns:c16="http://schemas.microsoft.com/office/drawing/2014/chart" uri="{C3380CC4-5D6E-409C-BE32-E72D297353CC}">
              <c16:uniqueId val="{00000005-AF6A-4542-93F2-29EF0421AB06}"/>
            </c:ext>
          </c:extLst>
        </c:ser>
        <c:ser>
          <c:idx val="2"/>
          <c:order val="2"/>
          <c:tx>
            <c:strRef>
              <c:f>'Pivot Table-1'!$D$3:$D$4</c:f>
              <c:strCache>
                <c:ptCount val="1"/>
                <c:pt idx="0">
                  <c:v>(blank)</c:v>
                </c:pt>
              </c:strCache>
            </c:strRef>
          </c:tx>
          <c:spPr>
            <a:solidFill>
              <a:schemeClr val="accent3"/>
            </a:solidFill>
            <a:ln>
              <a:noFill/>
            </a:ln>
            <a:effectLst/>
          </c:spPr>
          <c:invertIfNegative val="0"/>
          <c:cat>
            <c:multiLvlStrRef>
              <c:f>'Pivot Table-1'!$A$5:$A$151</c:f>
              <c:multiLvlStrCache>
                <c:ptCount val="136"/>
                <c:lvl>
                  <c:pt idx="0">
                    <c:v>(blank)</c:v>
                  </c:pt>
                  <c:pt idx="1">
                    <c:v>Aakash</c:v>
                  </c:pt>
                  <c:pt idx="2">
                    <c:v>Addison</c:v>
                  </c:pt>
                  <c:pt idx="3">
                    <c:v>Adrian</c:v>
                  </c:pt>
                  <c:pt idx="4">
                    <c:v>Ajay</c:v>
                  </c:pt>
                  <c:pt idx="5">
                    <c:v>Amith</c:v>
                  </c:pt>
                  <c:pt idx="6">
                    <c:v>Ardian</c:v>
                  </c:pt>
                  <c:pt idx="7">
                    <c:v>Arjun</c:v>
                  </c:pt>
                  <c:pt idx="8">
                    <c:v>Ashok</c:v>
                  </c:pt>
                  <c:pt idx="9">
                    <c:v>Bella</c:v>
                  </c:pt>
                  <c:pt idx="10">
                    <c:v>Devid</c:v>
                  </c:pt>
                  <c:pt idx="11">
                    <c:v>Ellie</c:v>
                  </c:pt>
                  <c:pt idx="12">
                    <c:v>Emma</c:v>
                  </c:pt>
                  <c:pt idx="13">
                    <c:v>Evan</c:v>
                  </c:pt>
                  <c:pt idx="14">
                    <c:v>Gabriella</c:v>
                  </c:pt>
                  <c:pt idx="15">
                    <c:v>Hailey</c:v>
                  </c:pt>
                  <c:pt idx="16">
                    <c:v>Hunter</c:v>
                  </c:pt>
                  <c:pt idx="17">
                    <c:v>Jason</c:v>
                  </c:pt>
                  <c:pt idx="18">
                    <c:v>John</c:v>
                  </c:pt>
                  <c:pt idx="19">
                    <c:v>Jordan</c:v>
                  </c:pt>
                  <c:pt idx="20">
                    <c:v>Joseph</c:v>
                  </c:pt>
                  <c:pt idx="21">
                    <c:v>Kaveri</c:v>
                  </c:pt>
                  <c:pt idx="22">
                    <c:v>Kiyara</c:v>
                  </c:pt>
                  <c:pt idx="23">
                    <c:v>Krithi</c:v>
                  </c:pt>
                  <c:pt idx="24">
                    <c:v>Luna</c:v>
                  </c:pt>
                  <c:pt idx="25">
                    <c:v>Mia</c:v>
                  </c:pt>
                  <c:pt idx="26">
                    <c:v>Natalie</c:v>
                  </c:pt>
                  <c:pt idx="27">
                    <c:v>Samantha</c:v>
                  </c:pt>
                  <c:pt idx="28">
                    <c:v>Sean</c:v>
                  </c:pt>
                  <c:pt idx="29">
                    <c:v>Smitha</c:v>
                  </c:pt>
                  <c:pt idx="30">
                    <c:v>Sreedhar</c:v>
                  </c:pt>
                  <c:pt idx="31">
                    <c:v>Srija</c:v>
                  </c:pt>
                  <c:pt idx="32">
                    <c:v>Srinu</c:v>
                  </c:pt>
                  <c:pt idx="33">
                    <c:v>Sudheer</c:v>
                  </c:pt>
                  <c:pt idx="34">
                    <c:v>Taylore</c:v>
                  </c:pt>
                  <c:pt idx="35">
                    <c:v>Tina</c:v>
                  </c:pt>
                  <c:pt idx="36">
                    <c:v>Trevor</c:v>
                  </c:pt>
                  <c:pt idx="37">
                    <c:v>Aaron</c:v>
                  </c:pt>
                  <c:pt idx="38">
                    <c:v>Albert</c:v>
                  </c:pt>
                  <c:pt idx="39">
                    <c:v>Anshu</c:v>
                  </c:pt>
                  <c:pt idx="40">
                    <c:v>Ashok</c:v>
                  </c:pt>
                  <c:pt idx="41">
                    <c:v>Bharath</c:v>
                  </c:pt>
                  <c:pt idx="42">
                    <c:v>Claire</c:v>
                  </c:pt>
                  <c:pt idx="43">
                    <c:v>Daisy</c:v>
                  </c:pt>
                  <c:pt idx="44">
                    <c:v>Devid</c:v>
                  </c:pt>
                  <c:pt idx="45">
                    <c:v>Eligibeth</c:v>
                  </c:pt>
                  <c:pt idx="46">
                    <c:v>Ellie</c:v>
                  </c:pt>
                  <c:pt idx="47">
                    <c:v>Emma</c:v>
                  </c:pt>
                  <c:pt idx="48">
                    <c:v>Jade</c:v>
                  </c:pt>
                  <c:pt idx="49">
                    <c:v>Kayla</c:v>
                  </c:pt>
                  <c:pt idx="50">
                    <c:v>Krithi</c:v>
                  </c:pt>
                  <c:pt idx="51">
                    <c:v>Lillian</c:v>
                  </c:pt>
                  <c:pt idx="52">
                    <c:v>Mia</c:v>
                  </c:pt>
                  <c:pt idx="53">
                    <c:v>Paisley</c:v>
                  </c:pt>
                  <c:pt idx="54">
                    <c:v>Parker</c:v>
                  </c:pt>
                  <c:pt idx="55">
                    <c:v>Sameera</c:v>
                  </c:pt>
                  <c:pt idx="56">
                    <c:v>Sean</c:v>
                  </c:pt>
                  <c:pt idx="57">
                    <c:v>Smitha</c:v>
                  </c:pt>
                  <c:pt idx="58">
                    <c:v>Sophiya</c:v>
                  </c:pt>
                  <c:pt idx="59">
                    <c:v>Sreeja</c:v>
                  </c:pt>
                  <c:pt idx="60">
                    <c:v>Sritha</c:v>
                  </c:pt>
                  <c:pt idx="61">
                    <c:v>Amith</c:v>
                  </c:pt>
                  <c:pt idx="62">
                    <c:v>Arjun</c:v>
                  </c:pt>
                  <c:pt idx="63">
                    <c:v>Ashok</c:v>
                  </c:pt>
                  <c:pt idx="64">
                    <c:v>Camila</c:v>
                  </c:pt>
                  <c:pt idx="65">
                    <c:v>Devid</c:v>
                  </c:pt>
                  <c:pt idx="66">
                    <c:v>Eligibeth</c:v>
                  </c:pt>
                  <c:pt idx="67">
                    <c:v>Everly</c:v>
                  </c:pt>
                  <c:pt idx="68">
                    <c:v>Hailey</c:v>
                  </c:pt>
                  <c:pt idx="69">
                    <c:v>Joseph</c:v>
                  </c:pt>
                  <c:pt idx="70">
                    <c:v>Krish</c:v>
                  </c:pt>
                  <c:pt idx="71">
                    <c:v>Ram</c:v>
                  </c:pt>
                  <c:pt idx="72">
                    <c:v>Sharadha</c:v>
                  </c:pt>
                  <c:pt idx="73">
                    <c:v>Sohel</c:v>
                  </c:pt>
                  <c:pt idx="74">
                    <c:v>Srinu</c:v>
                  </c:pt>
                  <c:pt idx="75">
                    <c:v>Susmitha</c:v>
                  </c:pt>
                  <c:pt idx="76">
                    <c:v>Aaron</c:v>
                  </c:pt>
                  <c:pt idx="77">
                    <c:v>Abhishek</c:v>
                  </c:pt>
                  <c:pt idx="78">
                    <c:v>Ajith</c:v>
                  </c:pt>
                  <c:pt idx="79">
                    <c:v>Amith</c:v>
                  </c:pt>
                  <c:pt idx="80">
                    <c:v>Amrith</c:v>
                  </c:pt>
                  <c:pt idx="81">
                    <c:v>Bharath</c:v>
                  </c:pt>
                  <c:pt idx="82">
                    <c:v>Eligibeth</c:v>
                  </c:pt>
                  <c:pt idx="83">
                    <c:v>Emma</c:v>
                  </c:pt>
                  <c:pt idx="84">
                    <c:v>Jason</c:v>
                  </c:pt>
                  <c:pt idx="85">
                    <c:v>Kaml</c:v>
                  </c:pt>
                  <c:pt idx="86">
                    <c:v>Kiran</c:v>
                  </c:pt>
                  <c:pt idx="87">
                    <c:v>Kiyara</c:v>
                  </c:pt>
                  <c:pt idx="88">
                    <c:v>Kyle</c:v>
                  </c:pt>
                  <c:pt idx="89">
                    <c:v>Lucas</c:v>
                  </c:pt>
                  <c:pt idx="90">
                    <c:v>Luna</c:v>
                  </c:pt>
                  <c:pt idx="91">
                    <c:v>Mano</c:v>
                  </c:pt>
                  <c:pt idx="92">
                    <c:v>Mia</c:v>
                  </c:pt>
                  <c:pt idx="93">
                    <c:v>Sahasra</c:v>
                  </c:pt>
                  <c:pt idx="94">
                    <c:v>Sekhar</c:v>
                  </c:pt>
                  <c:pt idx="95">
                    <c:v>Smitha</c:v>
                  </c:pt>
                  <c:pt idx="96">
                    <c:v>Sneha</c:v>
                  </c:pt>
                  <c:pt idx="97">
                    <c:v>Srasti</c:v>
                  </c:pt>
                  <c:pt idx="98">
                    <c:v>Sreedhar</c:v>
                  </c:pt>
                  <c:pt idx="99">
                    <c:v>Sudheer</c:v>
                  </c:pt>
                  <c:pt idx="100">
                    <c:v>Taylore</c:v>
                  </c:pt>
                  <c:pt idx="101">
                    <c:v>Tina</c:v>
                  </c:pt>
                  <c:pt idx="102">
                    <c:v>Ava</c:v>
                  </c:pt>
                  <c:pt idx="103">
                    <c:v>Devid</c:v>
                  </c:pt>
                  <c:pt idx="104">
                    <c:v>Emma</c:v>
                  </c:pt>
                  <c:pt idx="105">
                    <c:v>Isaac</c:v>
                  </c:pt>
                  <c:pt idx="106">
                    <c:v>John</c:v>
                  </c:pt>
                  <c:pt idx="107">
                    <c:v>Shuhas</c:v>
                  </c:pt>
                  <c:pt idx="108">
                    <c:v>Smitha</c:v>
                  </c:pt>
                  <c:pt idx="109">
                    <c:v>Arjun</c:v>
                  </c:pt>
                  <c:pt idx="110">
                    <c:v>Chloe</c:v>
                  </c:pt>
                  <c:pt idx="111">
                    <c:v>Jordan</c:v>
                  </c:pt>
                  <c:pt idx="112">
                    <c:v>Kiyara</c:v>
                  </c:pt>
                  <c:pt idx="113">
                    <c:v>Susma</c:v>
                  </c:pt>
                  <c:pt idx="114">
                    <c:v>Taylore</c:v>
                  </c:pt>
                  <c:pt idx="115">
                    <c:v>Anirudh</c:v>
                  </c:pt>
                  <c:pt idx="116">
                    <c:v>Anshu</c:v>
                  </c:pt>
                  <c:pt idx="117">
                    <c:v>Anurag</c:v>
                  </c:pt>
                  <c:pt idx="118">
                    <c:v>Bhagya</c:v>
                  </c:pt>
                  <c:pt idx="119">
                    <c:v>Bharani</c:v>
                  </c:pt>
                  <c:pt idx="120">
                    <c:v>Gokul</c:v>
                  </c:pt>
                  <c:pt idx="121">
                    <c:v>Krishna</c:v>
                  </c:pt>
                  <c:pt idx="122">
                    <c:v>Smitha</c:v>
                  </c:pt>
                  <c:pt idx="123">
                    <c:v>Sohel</c:v>
                  </c:pt>
                  <c:pt idx="124">
                    <c:v>Suman </c:v>
                  </c:pt>
                  <c:pt idx="125">
                    <c:v>Sumanth</c:v>
                  </c:pt>
                  <c:pt idx="126">
                    <c:v>Susuila</c:v>
                  </c:pt>
                  <c:pt idx="127">
                    <c:v>Thanuja</c:v>
                  </c:pt>
                  <c:pt idx="128">
                    <c:v>Balaji</c:v>
                  </c:pt>
                  <c:pt idx="129">
                    <c:v>Bhargav</c:v>
                  </c:pt>
                  <c:pt idx="130">
                    <c:v>Bindhu</c:v>
                  </c:pt>
                  <c:pt idx="131">
                    <c:v>Hema</c:v>
                  </c:pt>
                  <c:pt idx="132">
                    <c:v>Hemanth</c:v>
                  </c:pt>
                  <c:pt idx="133">
                    <c:v>Lavanya</c:v>
                  </c:pt>
                  <c:pt idx="134">
                    <c:v>Nag</c:v>
                  </c:pt>
                  <c:pt idx="135">
                    <c:v>Chaithanya</c:v>
                  </c:pt>
                </c:lvl>
                <c:lvl>
                  <c:pt idx="0">
                    <c:v>(blank)</c:v>
                  </c:pt>
                  <c:pt idx="1">
                    <c:v>1001-1300</c:v>
                  </c:pt>
                  <c:pt idx="37">
                    <c:v>1301-1600</c:v>
                  </c:pt>
                  <c:pt idx="61">
                    <c:v>1601-1900</c:v>
                  </c:pt>
                  <c:pt idx="76">
                    <c:v>1901-2200</c:v>
                  </c:pt>
                  <c:pt idx="102">
                    <c:v>2201-2500</c:v>
                  </c:pt>
                  <c:pt idx="109">
                    <c:v>2501-2800</c:v>
                  </c:pt>
                  <c:pt idx="115">
                    <c:v>2801-3100</c:v>
                  </c:pt>
                  <c:pt idx="128">
                    <c:v>3101-3400</c:v>
                  </c:pt>
                  <c:pt idx="135">
                    <c:v>3401-3700</c:v>
                  </c:pt>
                </c:lvl>
              </c:multiLvlStrCache>
            </c:multiLvlStrRef>
          </c:cat>
          <c:val>
            <c:numRef>
              <c:f>'Pivot Table-1'!$D$5:$D$151</c:f>
              <c:numCache>
                <c:formatCode>General</c:formatCode>
                <c:ptCount val="136"/>
              </c:numCache>
            </c:numRef>
          </c:val>
          <c:extLst>
            <c:ext xmlns:c16="http://schemas.microsoft.com/office/drawing/2014/chart" uri="{C3380CC4-5D6E-409C-BE32-E72D297353CC}">
              <c16:uniqueId val="{00000009-AF6A-4542-93F2-29EF0421AB06}"/>
            </c:ext>
          </c:extLst>
        </c:ser>
        <c:dLbls>
          <c:showLegendKey val="0"/>
          <c:showVal val="0"/>
          <c:showCatName val="0"/>
          <c:showSerName val="0"/>
          <c:showPercent val="0"/>
          <c:showBubbleSize val="0"/>
        </c:dLbls>
        <c:gapWidth val="219"/>
        <c:overlap val="-27"/>
        <c:axId val="872774368"/>
        <c:axId val="877306208"/>
      </c:barChart>
      <c:catAx>
        <c:axId val="872774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DA32C6"/>
                    </a:solidFill>
                  </a:rPr>
                  <a:t>Student</a:t>
                </a:r>
                <a:r>
                  <a:rPr lang="en-IN" b="1" baseline="0">
                    <a:solidFill>
                      <a:srgbClr val="DA32C6"/>
                    </a:solidFill>
                  </a:rPr>
                  <a:t> Name</a:t>
                </a:r>
                <a:endParaRPr lang="en-IN" b="1">
                  <a:solidFill>
                    <a:srgbClr val="DA32C6"/>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306208"/>
        <c:crosses val="autoZero"/>
        <c:auto val="1"/>
        <c:lblAlgn val="ctr"/>
        <c:lblOffset val="100"/>
        <c:noMultiLvlLbl val="0"/>
      </c:catAx>
      <c:valAx>
        <c:axId val="877306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DA32C6"/>
                    </a:solidFill>
                  </a:rPr>
                  <a:t>Marks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77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Table-3!PivotTable3</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2">
                    <a:lumMod val="75000"/>
                  </a:schemeClr>
                </a:solidFill>
              </a:rPr>
              <a:t>STUDENT</a:t>
            </a:r>
            <a:r>
              <a:rPr lang="en-IN" b="1" baseline="0">
                <a:solidFill>
                  <a:schemeClr val="accent2">
                    <a:lumMod val="75000"/>
                  </a:schemeClr>
                </a:solidFill>
              </a:rPr>
              <a:t> STATUS</a:t>
            </a:r>
            <a:endParaRPr lang="en-IN" b="1">
              <a:solidFill>
                <a:schemeClr val="accent2">
                  <a:lumMod val="75000"/>
                </a:schemeClr>
              </a:solidFill>
            </a:endParaRPr>
          </a:p>
        </c:rich>
      </c:tx>
      <c:layout>
        <c:manualLayout>
          <c:xMode val="edge"/>
          <c:yMode val="edge"/>
          <c:x val="0.35567344706911636"/>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
        <c:idx val="12"/>
        <c:spPr>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pivotFmt>
      <c:pivotFmt>
        <c:idx val="14"/>
        <c:spPr>
          <a:ln w="28575" cap="rnd">
            <a:solidFill>
              <a:schemeClr val="accent1"/>
            </a:solidFill>
            <a:round/>
          </a:ln>
          <a:effectLst/>
        </c:spPr>
        <c:marker>
          <c:symbol val="none"/>
        </c:marker>
      </c:pivotFmt>
      <c:pivotFmt>
        <c:idx val="15"/>
        <c:spPr>
          <a:ln w="28575" cap="rnd">
            <a:solidFill>
              <a:schemeClr val="accent1"/>
            </a:solidFill>
            <a:round/>
          </a:ln>
          <a:effectLst/>
        </c:spPr>
        <c:marker>
          <c:symbol val="none"/>
        </c:marker>
      </c:pivotFmt>
    </c:pivotFmts>
    <c:plotArea>
      <c:layout/>
      <c:lineChart>
        <c:grouping val="stacked"/>
        <c:varyColors val="0"/>
        <c:ser>
          <c:idx val="0"/>
          <c:order val="0"/>
          <c:tx>
            <c:strRef>
              <c:f>'Pivot Table-3'!$B$3:$B$4</c:f>
              <c:strCache>
                <c:ptCount val="1"/>
                <c:pt idx="0">
                  <c:v>1st Rank</c:v>
                </c:pt>
              </c:strCache>
            </c:strRef>
          </c:tx>
          <c:spPr>
            <a:ln w="28575" cap="rnd">
              <a:solidFill>
                <a:schemeClr val="accent1"/>
              </a:solidFill>
              <a:round/>
            </a:ln>
            <a:effectLst/>
          </c:spPr>
          <c:marker>
            <c:symbol val="none"/>
          </c:marker>
          <c:cat>
            <c:multiLvlStrRef>
              <c:f>'Pivot Table-3'!$A$5:$A$13</c:f>
              <c:multiLvlStrCache>
                <c:ptCount val="5"/>
                <c:lvl>
                  <c:pt idx="0">
                    <c:v>Fail</c:v>
                  </c:pt>
                  <c:pt idx="1">
                    <c:v>Pass</c:v>
                  </c:pt>
                  <c:pt idx="2">
                    <c:v>Fail</c:v>
                  </c:pt>
                  <c:pt idx="3">
                    <c:v>Pass</c:v>
                  </c:pt>
                  <c:pt idx="4">
                    <c:v>(blank)</c:v>
                  </c:pt>
                </c:lvl>
                <c:lvl>
                  <c:pt idx="0">
                    <c:v>Female</c:v>
                  </c:pt>
                  <c:pt idx="2">
                    <c:v>Male</c:v>
                  </c:pt>
                  <c:pt idx="4">
                    <c:v>(blank)</c:v>
                  </c:pt>
                </c:lvl>
              </c:multiLvlStrCache>
            </c:multiLvlStrRef>
          </c:cat>
          <c:val>
            <c:numRef>
              <c:f>'Pivot Table-3'!$B$5:$B$13</c:f>
              <c:numCache>
                <c:formatCode>General</c:formatCode>
                <c:ptCount val="5"/>
                <c:pt idx="1">
                  <c:v>1</c:v>
                </c:pt>
                <c:pt idx="3">
                  <c:v>1</c:v>
                </c:pt>
              </c:numCache>
            </c:numRef>
          </c:val>
          <c:smooth val="0"/>
          <c:extLst>
            <c:ext xmlns:c16="http://schemas.microsoft.com/office/drawing/2014/chart" uri="{C3380CC4-5D6E-409C-BE32-E72D297353CC}">
              <c16:uniqueId val="{00000000-AD4F-404E-962D-F24FDDFD6556}"/>
            </c:ext>
          </c:extLst>
        </c:ser>
        <c:ser>
          <c:idx val="1"/>
          <c:order val="1"/>
          <c:tx>
            <c:strRef>
              <c:f>'Pivot Table-3'!$C$3:$C$4</c:f>
              <c:strCache>
                <c:ptCount val="1"/>
                <c:pt idx="0">
                  <c:v>2nd Rank</c:v>
                </c:pt>
              </c:strCache>
            </c:strRef>
          </c:tx>
          <c:spPr>
            <a:ln w="28575" cap="rnd">
              <a:solidFill>
                <a:schemeClr val="accent2"/>
              </a:solidFill>
              <a:round/>
            </a:ln>
            <a:effectLst/>
          </c:spPr>
          <c:marker>
            <c:symbol val="none"/>
          </c:marker>
          <c:cat>
            <c:multiLvlStrRef>
              <c:f>'Pivot Table-3'!$A$5:$A$13</c:f>
              <c:multiLvlStrCache>
                <c:ptCount val="5"/>
                <c:lvl>
                  <c:pt idx="0">
                    <c:v>Fail</c:v>
                  </c:pt>
                  <c:pt idx="1">
                    <c:v>Pass</c:v>
                  </c:pt>
                  <c:pt idx="2">
                    <c:v>Fail</c:v>
                  </c:pt>
                  <c:pt idx="3">
                    <c:v>Pass</c:v>
                  </c:pt>
                  <c:pt idx="4">
                    <c:v>(blank)</c:v>
                  </c:pt>
                </c:lvl>
                <c:lvl>
                  <c:pt idx="0">
                    <c:v>Female</c:v>
                  </c:pt>
                  <c:pt idx="2">
                    <c:v>Male</c:v>
                  </c:pt>
                  <c:pt idx="4">
                    <c:v>(blank)</c:v>
                  </c:pt>
                </c:lvl>
              </c:multiLvlStrCache>
            </c:multiLvlStrRef>
          </c:cat>
          <c:val>
            <c:numRef>
              <c:f>'Pivot Table-3'!$C$5:$C$13</c:f>
              <c:numCache>
                <c:formatCode>General</c:formatCode>
                <c:ptCount val="5"/>
                <c:pt idx="1">
                  <c:v>9</c:v>
                </c:pt>
                <c:pt idx="3">
                  <c:v>17</c:v>
                </c:pt>
              </c:numCache>
            </c:numRef>
          </c:val>
          <c:smooth val="0"/>
          <c:extLst>
            <c:ext xmlns:c16="http://schemas.microsoft.com/office/drawing/2014/chart" uri="{C3380CC4-5D6E-409C-BE32-E72D297353CC}">
              <c16:uniqueId val="{0000000E-AD4F-404E-962D-F24FDDFD6556}"/>
            </c:ext>
          </c:extLst>
        </c:ser>
        <c:ser>
          <c:idx val="2"/>
          <c:order val="2"/>
          <c:tx>
            <c:strRef>
              <c:f>'Pivot Table-3'!$D$3:$D$4</c:f>
              <c:strCache>
                <c:ptCount val="1"/>
                <c:pt idx="0">
                  <c:v>3rd Rank</c:v>
                </c:pt>
              </c:strCache>
            </c:strRef>
          </c:tx>
          <c:spPr>
            <a:ln w="28575" cap="rnd">
              <a:solidFill>
                <a:schemeClr val="accent3"/>
              </a:solidFill>
              <a:round/>
            </a:ln>
            <a:effectLst/>
          </c:spPr>
          <c:marker>
            <c:symbol val="none"/>
          </c:marker>
          <c:cat>
            <c:multiLvlStrRef>
              <c:f>'Pivot Table-3'!$A$5:$A$13</c:f>
              <c:multiLvlStrCache>
                <c:ptCount val="5"/>
                <c:lvl>
                  <c:pt idx="0">
                    <c:v>Fail</c:v>
                  </c:pt>
                  <c:pt idx="1">
                    <c:v>Pass</c:v>
                  </c:pt>
                  <c:pt idx="2">
                    <c:v>Fail</c:v>
                  </c:pt>
                  <c:pt idx="3">
                    <c:v>Pass</c:v>
                  </c:pt>
                  <c:pt idx="4">
                    <c:v>(blank)</c:v>
                  </c:pt>
                </c:lvl>
                <c:lvl>
                  <c:pt idx="0">
                    <c:v>Female</c:v>
                  </c:pt>
                  <c:pt idx="2">
                    <c:v>Male</c:v>
                  </c:pt>
                  <c:pt idx="4">
                    <c:v>(blank)</c:v>
                  </c:pt>
                </c:lvl>
              </c:multiLvlStrCache>
            </c:multiLvlStrRef>
          </c:cat>
          <c:val>
            <c:numRef>
              <c:f>'Pivot Table-3'!$D$5:$D$13</c:f>
              <c:numCache>
                <c:formatCode>General</c:formatCode>
                <c:ptCount val="5"/>
                <c:pt idx="0">
                  <c:v>2</c:v>
                </c:pt>
                <c:pt idx="1">
                  <c:v>26</c:v>
                </c:pt>
                <c:pt idx="2">
                  <c:v>2</c:v>
                </c:pt>
                <c:pt idx="3">
                  <c:v>32</c:v>
                </c:pt>
              </c:numCache>
            </c:numRef>
          </c:val>
          <c:smooth val="0"/>
          <c:extLst>
            <c:ext xmlns:c16="http://schemas.microsoft.com/office/drawing/2014/chart" uri="{C3380CC4-5D6E-409C-BE32-E72D297353CC}">
              <c16:uniqueId val="{0000000F-AD4F-404E-962D-F24FDDFD6556}"/>
            </c:ext>
          </c:extLst>
        </c:ser>
        <c:ser>
          <c:idx val="3"/>
          <c:order val="3"/>
          <c:tx>
            <c:strRef>
              <c:f>'Pivot Table-3'!$E$3:$E$4</c:f>
              <c:strCache>
                <c:ptCount val="1"/>
                <c:pt idx="0">
                  <c:v>4th Rank</c:v>
                </c:pt>
              </c:strCache>
            </c:strRef>
          </c:tx>
          <c:spPr>
            <a:ln w="28575" cap="rnd">
              <a:solidFill>
                <a:schemeClr val="accent4"/>
              </a:solidFill>
              <a:round/>
            </a:ln>
            <a:effectLst/>
          </c:spPr>
          <c:marker>
            <c:symbol val="none"/>
          </c:marker>
          <c:cat>
            <c:multiLvlStrRef>
              <c:f>'Pivot Table-3'!$A$5:$A$13</c:f>
              <c:multiLvlStrCache>
                <c:ptCount val="5"/>
                <c:lvl>
                  <c:pt idx="0">
                    <c:v>Fail</c:v>
                  </c:pt>
                  <c:pt idx="1">
                    <c:v>Pass</c:v>
                  </c:pt>
                  <c:pt idx="2">
                    <c:v>Fail</c:v>
                  </c:pt>
                  <c:pt idx="3">
                    <c:v>Pass</c:v>
                  </c:pt>
                  <c:pt idx="4">
                    <c:v>(blank)</c:v>
                  </c:pt>
                </c:lvl>
                <c:lvl>
                  <c:pt idx="0">
                    <c:v>Female</c:v>
                  </c:pt>
                  <c:pt idx="2">
                    <c:v>Male</c:v>
                  </c:pt>
                  <c:pt idx="4">
                    <c:v>(blank)</c:v>
                  </c:pt>
                </c:lvl>
              </c:multiLvlStrCache>
            </c:multiLvlStrRef>
          </c:cat>
          <c:val>
            <c:numRef>
              <c:f>'Pivot Table-3'!$E$5:$E$13</c:f>
              <c:numCache>
                <c:formatCode>General</c:formatCode>
                <c:ptCount val="5"/>
                <c:pt idx="0">
                  <c:v>13</c:v>
                </c:pt>
                <c:pt idx="1">
                  <c:v>10</c:v>
                </c:pt>
                <c:pt idx="2">
                  <c:v>14</c:v>
                </c:pt>
                <c:pt idx="3">
                  <c:v>9</c:v>
                </c:pt>
              </c:numCache>
            </c:numRef>
          </c:val>
          <c:smooth val="0"/>
          <c:extLst>
            <c:ext xmlns:c16="http://schemas.microsoft.com/office/drawing/2014/chart" uri="{C3380CC4-5D6E-409C-BE32-E72D297353CC}">
              <c16:uniqueId val="{00000010-AD4F-404E-962D-F24FDDFD6556}"/>
            </c:ext>
          </c:extLst>
        </c:ser>
        <c:ser>
          <c:idx val="4"/>
          <c:order val="4"/>
          <c:tx>
            <c:strRef>
              <c:f>'Pivot Table-3'!$F$3:$F$4</c:f>
              <c:strCache>
                <c:ptCount val="1"/>
                <c:pt idx="0">
                  <c:v>5th Rank</c:v>
                </c:pt>
              </c:strCache>
            </c:strRef>
          </c:tx>
          <c:spPr>
            <a:ln w="28575" cap="rnd">
              <a:solidFill>
                <a:schemeClr val="accent5"/>
              </a:solidFill>
              <a:round/>
            </a:ln>
            <a:effectLst/>
          </c:spPr>
          <c:marker>
            <c:symbol val="none"/>
          </c:marker>
          <c:cat>
            <c:multiLvlStrRef>
              <c:f>'Pivot Table-3'!$A$5:$A$13</c:f>
              <c:multiLvlStrCache>
                <c:ptCount val="5"/>
                <c:lvl>
                  <c:pt idx="0">
                    <c:v>Fail</c:v>
                  </c:pt>
                  <c:pt idx="1">
                    <c:v>Pass</c:v>
                  </c:pt>
                  <c:pt idx="2">
                    <c:v>Fail</c:v>
                  </c:pt>
                  <c:pt idx="3">
                    <c:v>Pass</c:v>
                  </c:pt>
                  <c:pt idx="4">
                    <c:v>(blank)</c:v>
                  </c:pt>
                </c:lvl>
                <c:lvl>
                  <c:pt idx="0">
                    <c:v>Female</c:v>
                  </c:pt>
                  <c:pt idx="2">
                    <c:v>Male</c:v>
                  </c:pt>
                  <c:pt idx="4">
                    <c:v>(blank)</c:v>
                  </c:pt>
                </c:lvl>
              </c:multiLvlStrCache>
            </c:multiLvlStrRef>
          </c:cat>
          <c:val>
            <c:numRef>
              <c:f>'Pivot Table-3'!$F$5:$F$13</c:f>
              <c:numCache>
                <c:formatCode>General</c:formatCode>
                <c:ptCount val="5"/>
                <c:pt idx="0">
                  <c:v>8</c:v>
                </c:pt>
                <c:pt idx="2">
                  <c:v>9</c:v>
                </c:pt>
              </c:numCache>
            </c:numRef>
          </c:val>
          <c:smooth val="0"/>
          <c:extLst>
            <c:ext xmlns:c16="http://schemas.microsoft.com/office/drawing/2014/chart" uri="{C3380CC4-5D6E-409C-BE32-E72D297353CC}">
              <c16:uniqueId val="{00000011-AD4F-404E-962D-F24FDDFD6556}"/>
            </c:ext>
          </c:extLst>
        </c:ser>
        <c:ser>
          <c:idx val="5"/>
          <c:order val="5"/>
          <c:tx>
            <c:strRef>
              <c:f>'Pivot Table-3'!$G$3:$G$4</c:f>
              <c:strCache>
                <c:ptCount val="1"/>
                <c:pt idx="0">
                  <c:v>(blank)</c:v>
                </c:pt>
              </c:strCache>
            </c:strRef>
          </c:tx>
          <c:spPr>
            <a:ln w="28575" cap="rnd">
              <a:solidFill>
                <a:schemeClr val="accent6"/>
              </a:solidFill>
              <a:round/>
            </a:ln>
            <a:effectLst/>
          </c:spPr>
          <c:marker>
            <c:symbol val="none"/>
          </c:marker>
          <c:cat>
            <c:multiLvlStrRef>
              <c:f>'Pivot Table-3'!$A$5:$A$13</c:f>
              <c:multiLvlStrCache>
                <c:ptCount val="5"/>
                <c:lvl>
                  <c:pt idx="0">
                    <c:v>Fail</c:v>
                  </c:pt>
                  <c:pt idx="1">
                    <c:v>Pass</c:v>
                  </c:pt>
                  <c:pt idx="2">
                    <c:v>Fail</c:v>
                  </c:pt>
                  <c:pt idx="3">
                    <c:v>Pass</c:v>
                  </c:pt>
                  <c:pt idx="4">
                    <c:v>(blank)</c:v>
                  </c:pt>
                </c:lvl>
                <c:lvl>
                  <c:pt idx="0">
                    <c:v>Female</c:v>
                  </c:pt>
                  <c:pt idx="2">
                    <c:v>Male</c:v>
                  </c:pt>
                  <c:pt idx="4">
                    <c:v>(blank)</c:v>
                  </c:pt>
                </c:lvl>
              </c:multiLvlStrCache>
            </c:multiLvlStrRef>
          </c:cat>
          <c:val>
            <c:numRef>
              <c:f>'Pivot Table-3'!$G$5:$G$13</c:f>
              <c:numCache>
                <c:formatCode>General</c:formatCode>
                <c:ptCount val="5"/>
              </c:numCache>
            </c:numRef>
          </c:val>
          <c:smooth val="0"/>
          <c:extLst>
            <c:ext xmlns:c16="http://schemas.microsoft.com/office/drawing/2014/chart" uri="{C3380CC4-5D6E-409C-BE32-E72D297353CC}">
              <c16:uniqueId val="{00000012-AD4F-404E-962D-F24FDDFD6556}"/>
            </c:ext>
          </c:extLst>
        </c:ser>
        <c:dLbls>
          <c:showLegendKey val="0"/>
          <c:showVal val="0"/>
          <c:showCatName val="0"/>
          <c:showSerName val="0"/>
          <c:showPercent val="0"/>
          <c:showBubbleSize val="0"/>
        </c:dLbls>
        <c:smooth val="0"/>
        <c:axId val="1047601664"/>
        <c:axId val="1317879392"/>
      </c:lineChart>
      <c:catAx>
        <c:axId val="1047601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B0F0"/>
                    </a:solidFill>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879392"/>
        <c:crosses val="autoZero"/>
        <c:auto val="1"/>
        <c:lblAlgn val="ctr"/>
        <c:lblOffset val="100"/>
        <c:noMultiLvlLbl val="0"/>
      </c:catAx>
      <c:valAx>
        <c:axId val="1317879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B0F0"/>
                    </a:solidFill>
                  </a:rPr>
                  <a:t>Cou</a:t>
                </a:r>
                <a:r>
                  <a:rPr lang="en-IN" b="1" baseline="0">
                    <a:solidFill>
                      <a:srgbClr val="00B0F0"/>
                    </a:solidFill>
                  </a:rPr>
                  <a:t>nt of Status</a:t>
                </a:r>
                <a:endParaRPr lang="en-IN" b="1">
                  <a:solidFill>
                    <a:srgbClr val="00B0F0"/>
                  </a:solidFill>
                </a:endParaRPr>
              </a:p>
            </c:rich>
          </c:tx>
          <c:layout>
            <c:manualLayout>
              <c:xMode val="edge"/>
              <c:yMode val="edge"/>
              <c:x val="2.7777777777777776E-2"/>
              <c:y val="0.2299500583260425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60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Table-2!PivotTable2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B0F0"/>
                </a:solidFill>
              </a:rPr>
              <a:t>STUDENT</a:t>
            </a:r>
            <a:r>
              <a:rPr lang="en-IN" b="1" baseline="0">
                <a:solidFill>
                  <a:srgbClr val="00B0F0"/>
                </a:solidFill>
              </a:rPr>
              <a:t>S RANKS</a:t>
            </a:r>
            <a:endParaRPr lang="en-IN" b="1">
              <a:solidFill>
                <a:srgbClr val="00B0F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s>
    <c:plotArea>
      <c:layout/>
      <c:barChart>
        <c:barDir val="col"/>
        <c:grouping val="clustered"/>
        <c:varyColors val="0"/>
        <c:ser>
          <c:idx val="0"/>
          <c:order val="0"/>
          <c:tx>
            <c:strRef>
              <c:f>'Pivot Table-2'!$B$3:$B$4</c:f>
              <c:strCache>
                <c:ptCount val="1"/>
                <c:pt idx="0">
                  <c:v>AI&amp;ML</c:v>
                </c:pt>
              </c:strCache>
            </c:strRef>
          </c:tx>
          <c:spPr>
            <a:solidFill>
              <a:schemeClr val="accent1"/>
            </a:solidFill>
            <a:ln>
              <a:noFill/>
            </a:ln>
            <a:effectLst/>
          </c:spPr>
          <c:invertIfNegative val="0"/>
          <c:cat>
            <c:multiLvlStrRef>
              <c:f>'Pivot Table-2'!$A$5:$A$20</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1st Rank</c:v>
                  </c:pt>
                  <c:pt idx="2">
                    <c:v>2nd Rank</c:v>
                  </c:pt>
                  <c:pt idx="4">
                    <c:v>3rd Rank</c:v>
                  </c:pt>
                  <c:pt idx="6">
                    <c:v>4th Rank</c:v>
                  </c:pt>
                  <c:pt idx="8">
                    <c:v>5th Rank</c:v>
                  </c:pt>
                </c:lvl>
              </c:multiLvlStrCache>
            </c:multiLvlStrRef>
          </c:cat>
          <c:val>
            <c:numRef>
              <c:f>'Pivot Table-2'!$B$5:$B$20</c:f>
              <c:numCache>
                <c:formatCode>General</c:formatCode>
                <c:ptCount val="10"/>
                <c:pt idx="2">
                  <c:v>327</c:v>
                </c:pt>
                <c:pt idx="3">
                  <c:v>493</c:v>
                </c:pt>
                <c:pt idx="4">
                  <c:v>786</c:v>
                </c:pt>
                <c:pt idx="5">
                  <c:v>1138</c:v>
                </c:pt>
                <c:pt idx="6">
                  <c:v>99</c:v>
                </c:pt>
                <c:pt idx="7">
                  <c:v>568</c:v>
                </c:pt>
                <c:pt idx="8">
                  <c:v>150</c:v>
                </c:pt>
                <c:pt idx="9">
                  <c:v>46</c:v>
                </c:pt>
              </c:numCache>
            </c:numRef>
          </c:val>
          <c:extLst>
            <c:ext xmlns:c16="http://schemas.microsoft.com/office/drawing/2014/chart" uri="{C3380CC4-5D6E-409C-BE32-E72D297353CC}">
              <c16:uniqueId val="{00000000-815A-4E44-A8C1-7FF5277A452F}"/>
            </c:ext>
          </c:extLst>
        </c:ser>
        <c:ser>
          <c:idx val="1"/>
          <c:order val="1"/>
          <c:tx>
            <c:strRef>
              <c:f>'Pivot Table-2'!$C$3:$C$4</c:f>
              <c:strCache>
                <c:ptCount val="1"/>
                <c:pt idx="0">
                  <c:v>CIVIL</c:v>
                </c:pt>
              </c:strCache>
            </c:strRef>
          </c:tx>
          <c:spPr>
            <a:solidFill>
              <a:schemeClr val="accent2"/>
            </a:solidFill>
            <a:ln>
              <a:noFill/>
            </a:ln>
            <a:effectLst/>
          </c:spPr>
          <c:invertIfNegative val="0"/>
          <c:cat>
            <c:multiLvlStrRef>
              <c:f>'Pivot Table-2'!$A$5:$A$20</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1st Rank</c:v>
                  </c:pt>
                  <c:pt idx="2">
                    <c:v>2nd Rank</c:v>
                  </c:pt>
                  <c:pt idx="4">
                    <c:v>3rd Rank</c:v>
                  </c:pt>
                  <c:pt idx="6">
                    <c:v>4th Rank</c:v>
                  </c:pt>
                  <c:pt idx="8">
                    <c:v>5th Rank</c:v>
                  </c:pt>
                </c:lvl>
              </c:multiLvlStrCache>
            </c:multiLvlStrRef>
          </c:cat>
          <c:val>
            <c:numRef>
              <c:f>'Pivot Table-2'!$C$5:$C$20</c:f>
              <c:numCache>
                <c:formatCode>General</c:formatCode>
                <c:ptCount val="10"/>
                <c:pt idx="2">
                  <c:v>155</c:v>
                </c:pt>
                <c:pt idx="3">
                  <c:v>321</c:v>
                </c:pt>
                <c:pt idx="4">
                  <c:v>116</c:v>
                </c:pt>
                <c:pt idx="5">
                  <c:v>750</c:v>
                </c:pt>
                <c:pt idx="6">
                  <c:v>506</c:v>
                </c:pt>
                <c:pt idx="7">
                  <c:v>388</c:v>
                </c:pt>
                <c:pt idx="9">
                  <c:v>69</c:v>
                </c:pt>
              </c:numCache>
            </c:numRef>
          </c:val>
          <c:extLst>
            <c:ext xmlns:c16="http://schemas.microsoft.com/office/drawing/2014/chart" uri="{C3380CC4-5D6E-409C-BE32-E72D297353CC}">
              <c16:uniqueId val="{00000001-815A-4E44-A8C1-7FF5277A452F}"/>
            </c:ext>
          </c:extLst>
        </c:ser>
        <c:ser>
          <c:idx val="2"/>
          <c:order val="2"/>
          <c:tx>
            <c:strRef>
              <c:f>'Pivot Table-2'!$D$3:$D$4</c:f>
              <c:strCache>
                <c:ptCount val="1"/>
                <c:pt idx="0">
                  <c:v>CSE</c:v>
                </c:pt>
              </c:strCache>
            </c:strRef>
          </c:tx>
          <c:spPr>
            <a:solidFill>
              <a:schemeClr val="accent3"/>
            </a:solidFill>
            <a:ln>
              <a:noFill/>
            </a:ln>
            <a:effectLst/>
          </c:spPr>
          <c:invertIfNegative val="0"/>
          <c:cat>
            <c:multiLvlStrRef>
              <c:f>'Pivot Table-2'!$A$5:$A$20</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1st Rank</c:v>
                  </c:pt>
                  <c:pt idx="2">
                    <c:v>2nd Rank</c:v>
                  </c:pt>
                  <c:pt idx="4">
                    <c:v>3rd Rank</c:v>
                  </c:pt>
                  <c:pt idx="6">
                    <c:v>4th Rank</c:v>
                  </c:pt>
                  <c:pt idx="8">
                    <c:v>5th Rank</c:v>
                  </c:pt>
                </c:lvl>
              </c:multiLvlStrCache>
            </c:multiLvlStrRef>
          </c:cat>
          <c:val>
            <c:numRef>
              <c:f>'Pivot Table-2'!$D$5:$D$20</c:f>
              <c:numCache>
                <c:formatCode>General</c:formatCode>
                <c:ptCount val="10"/>
                <c:pt idx="2">
                  <c:v>660</c:v>
                </c:pt>
                <c:pt idx="3">
                  <c:v>1281</c:v>
                </c:pt>
                <c:pt idx="4">
                  <c:v>1091</c:v>
                </c:pt>
                <c:pt idx="5">
                  <c:v>404</c:v>
                </c:pt>
                <c:pt idx="6">
                  <c:v>973</c:v>
                </c:pt>
                <c:pt idx="7">
                  <c:v>680</c:v>
                </c:pt>
                <c:pt idx="8">
                  <c:v>195</c:v>
                </c:pt>
                <c:pt idx="9">
                  <c:v>273</c:v>
                </c:pt>
              </c:numCache>
            </c:numRef>
          </c:val>
          <c:extLst>
            <c:ext xmlns:c16="http://schemas.microsoft.com/office/drawing/2014/chart" uri="{C3380CC4-5D6E-409C-BE32-E72D297353CC}">
              <c16:uniqueId val="{00000005-815A-4E44-A8C1-7FF5277A452F}"/>
            </c:ext>
          </c:extLst>
        </c:ser>
        <c:ser>
          <c:idx val="3"/>
          <c:order val="3"/>
          <c:tx>
            <c:strRef>
              <c:f>'Pivot Table-2'!$E$3:$E$4</c:f>
              <c:strCache>
                <c:ptCount val="1"/>
                <c:pt idx="0">
                  <c:v>ECE</c:v>
                </c:pt>
              </c:strCache>
            </c:strRef>
          </c:tx>
          <c:spPr>
            <a:solidFill>
              <a:schemeClr val="accent4"/>
            </a:solidFill>
            <a:ln>
              <a:noFill/>
            </a:ln>
            <a:effectLst/>
          </c:spPr>
          <c:invertIfNegative val="0"/>
          <c:cat>
            <c:multiLvlStrRef>
              <c:f>'Pivot Table-2'!$A$5:$A$20</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1st Rank</c:v>
                  </c:pt>
                  <c:pt idx="2">
                    <c:v>2nd Rank</c:v>
                  </c:pt>
                  <c:pt idx="4">
                    <c:v>3rd Rank</c:v>
                  </c:pt>
                  <c:pt idx="6">
                    <c:v>4th Rank</c:v>
                  </c:pt>
                  <c:pt idx="8">
                    <c:v>5th Rank</c:v>
                  </c:pt>
                </c:lvl>
              </c:multiLvlStrCache>
            </c:multiLvlStrRef>
          </c:cat>
          <c:val>
            <c:numRef>
              <c:f>'Pivot Table-2'!$E$5:$E$20</c:f>
              <c:numCache>
                <c:formatCode>General</c:formatCode>
                <c:ptCount val="10"/>
                <c:pt idx="1">
                  <c:v>189</c:v>
                </c:pt>
                <c:pt idx="2">
                  <c:v>155</c:v>
                </c:pt>
                <c:pt idx="3">
                  <c:v>489</c:v>
                </c:pt>
                <c:pt idx="4">
                  <c:v>770</c:v>
                </c:pt>
                <c:pt idx="5">
                  <c:v>1167</c:v>
                </c:pt>
                <c:pt idx="6">
                  <c:v>396</c:v>
                </c:pt>
                <c:pt idx="7">
                  <c:v>210</c:v>
                </c:pt>
                <c:pt idx="8">
                  <c:v>70</c:v>
                </c:pt>
                <c:pt idx="9">
                  <c:v>155</c:v>
                </c:pt>
              </c:numCache>
            </c:numRef>
          </c:val>
          <c:extLst>
            <c:ext xmlns:c16="http://schemas.microsoft.com/office/drawing/2014/chart" uri="{C3380CC4-5D6E-409C-BE32-E72D297353CC}">
              <c16:uniqueId val="{00000006-815A-4E44-A8C1-7FF5277A452F}"/>
            </c:ext>
          </c:extLst>
        </c:ser>
        <c:ser>
          <c:idx val="4"/>
          <c:order val="4"/>
          <c:tx>
            <c:strRef>
              <c:f>'Pivot Table-2'!$F$3:$F$4</c:f>
              <c:strCache>
                <c:ptCount val="1"/>
                <c:pt idx="0">
                  <c:v>EEE</c:v>
                </c:pt>
              </c:strCache>
            </c:strRef>
          </c:tx>
          <c:spPr>
            <a:solidFill>
              <a:schemeClr val="accent5"/>
            </a:solidFill>
            <a:ln>
              <a:noFill/>
            </a:ln>
            <a:effectLst/>
          </c:spPr>
          <c:invertIfNegative val="0"/>
          <c:cat>
            <c:multiLvlStrRef>
              <c:f>'Pivot Table-2'!$A$5:$A$20</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1st Rank</c:v>
                  </c:pt>
                  <c:pt idx="2">
                    <c:v>2nd Rank</c:v>
                  </c:pt>
                  <c:pt idx="4">
                    <c:v>3rd Rank</c:v>
                  </c:pt>
                  <c:pt idx="6">
                    <c:v>4th Rank</c:v>
                  </c:pt>
                  <c:pt idx="8">
                    <c:v>5th Rank</c:v>
                  </c:pt>
                </c:lvl>
              </c:multiLvlStrCache>
            </c:multiLvlStrRef>
          </c:cat>
          <c:val>
            <c:numRef>
              <c:f>'Pivot Table-2'!$F$5:$F$20</c:f>
              <c:numCache>
                <c:formatCode>General</c:formatCode>
                <c:ptCount val="10"/>
                <c:pt idx="0">
                  <c:v>182</c:v>
                </c:pt>
                <c:pt idx="2">
                  <c:v>173</c:v>
                </c:pt>
                <c:pt idx="3">
                  <c:v>156</c:v>
                </c:pt>
                <c:pt idx="4">
                  <c:v>953</c:v>
                </c:pt>
                <c:pt idx="5">
                  <c:v>939</c:v>
                </c:pt>
                <c:pt idx="6">
                  <c:v>290</c:v>
                </c:pt>
                <c:pt idx="7">
                  <c:v>366</c:v>
                </c:pt>
                <c:pt idx="8">
                  <c:v>123</c:v>
                </c:pt>
                <c:pt idx="9">
                  <c:v>77</c:v>
                </c:pt>
              </c:numCache>
            </c:numRef>
          </c:val>
          <c:extLst>
            <c:ext xmlns:c16="http://schemas.microsoft.com/office/drawing/2014/chart" uri="{C3380CC4-5D6E-409C-BE32-E72D297353CC}">
              <c16:uniqueId val="{00000007-815A-4E44-A8C1-7FF5277A452F}"/>
            </c:ext>
          </c:extLst>
        </c:ser>
        <c:dLbls>
          <c:showLegendKey val="0"/>
          <c:showVal val="0"/>
          <c:showCatName val="0"/>
          <c:showSerName val="0"/>
          <c:showPercent val="0"/>
          <c:showBubbleSize val="0"/>
        </c:dLbls>
        <c:gapWidth val="219"/>
        <c:overlap val="-27"/>
        <c:axId val="1217586576"/>
        <c:axId val="1317869824"/>
      </c:barChart>
      <c:catAx>
        <c:axId val="1217586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DA32C6"/>
                    </a:solidFill>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869824"/>
        <c:crosses val="autoZero"/>
        <c:auto val="1"/>
        <c:lblAlgn val="ctr"/>
        <c:lblOffset val="100"/>
        <c:noMultiLvlLbl val="0"/>
      </c:catAx>
      <c:valAx>
        <c:axId val="1317869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DA32C6"/>
                    </a:solidFill>
                  </a:rPr>
                  <a:t>TOTAL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58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137160</xdr:colOff>
      <xdr:row>1</xdr:row>
      <xdr:rowOff>144780</xdr:rowOff>
    </xdr:from>
    <xdr:to>
      <xdr:col>24</xdr:col>
      <xdr:colOff>167640</xdr:colOff>
      <xdr:row>21</xdr:row>
      <xdr:rowOff>22860</xdr:rowOff>
    </xdr:to>
    <xdr:graphicFrame macro="">
      <xdr:nvGraphicFramePr>
        <xdr:cNvPr id="2" name="Chart 1">
          <a:extLst>
            <a:ext uri="{FF2B5EF4-FFF2-40B4-BE49-F238E27FC236}">
              <a16:creationId xmlns:a16="http://schemas.microsoft.com/office/drawing/2014/main" id="{5D015314-B939-4732-89B8-CE2AB5965D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274320</xdr:colOff>
      <xdr:row>3</xdr:row>
      <xdr:rowOff>99060</xdr:rowOff>
    </xdr:from>
    <xdr:to>
      <xdr:col>15</xdr:col>
      <xdr:colOff>579120</xdr:colOff>
      <xdr:row>20</xdr:row>
      <xdr:rowOff>38100</xdr:rowOff>
    </xdr:to>
    <xdr:graphicFrame macro="">
      <xdr:nvGraphicFramePr>
        <xdr:cNvPr id="5" name="Chart 4">
          <a:extLst>
            <a:ext uri="{FF2B5EF4-FFF2-40B4-BE49-F238E27FC236}">
              <a16:creationId xmlns:a16="http://schemas.microsoft.com/office/drawing/2014/main" id="{6914E0B6-F9A8-4905-A3DD-CEB08122A1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518160</xdr:colOff>
      <xdr:row>3</xdr:row>
      <xdr:rowOff>7620</xdr:rowOff>
    </xdr:from>
    <xdr:to>
      <xdr:col>13</xdr:col>
      <xdr:colOff>617220</xdr:colOff>
      <xdr:row>18</xdr:row>
      <xdr:rowOff>7620</xdr:rowOff>
    </xdr:to>
    <xdr:graphicFrame macro="">
      <xdr:nvGraphicFramePr>
        <xdr:cNvPr id="5" name="Chart 4">
          <a:extLst>
            <a:ext uri="{FF2B5EF4-FFF2-40B4-BE49-F238E27FC236}">
              <a16:creationId xmlns:a16="http://schemas.microsoft.com/office/drawing/2014/main" id="{AF1099E7-897F-4430-B7CA-3BE527D079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601980</xdr:colOff>
      <xdr:row>3</xdr:row>
      <xdr:rowOff>15240</xdr:rowOff>
    </xdr:from>
    <xdr:to>
      <xdr:col>19</xdr:col>
      <xdr:colOff>0</xdr:colOff>
      <xdr:row>22</xdr:row>
      <xdr:rowOff>167640</xdr:rowOff>
    </xdr:to>
    <xdr:graphicFrame macro="">
      <xdr:nvGraphicFramePr>
        <xdr:cNvPr id="2" name="Chart 1">
          <a:extLst>
            <a:ext uri="{FF2B5EF4-FFF2-40B4-BE49-F238E27FC236}">
              <a16:creationId xmlns:a16="http://schemas.microsoft.com/office/drawing/2014/main" id="{F3979AC0-3718-46B1-B379-87E7CDB6D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594360</xdr:colOff>
      <xdr:row>23</xdr:row>
      <xdr:rowOff>7620</xdr:rowOff>
    </xdr:from>
    <xdr:to>
      <xdr:col>19</xdr:col>
      <xdr:colOff>0</xdr:colOff>
      <xdr:row>39</xdr:row>
      <xdr:rowOff>160020</xdr:rowOff>
    </xdr:to>
    <xdr:graphicFrame macro="">
      <xdr:nvGraphicFramePr>
        <xdr:cNvPr id="4" name="Chart 3">
          <a:extLst>
            <a:ext uri="{FF2B5EF4-FFF2-40B4-BE49-F238E27FC236}">
              <a16:creationId xmlns:a16="http://schemas.microsoft.com/office/drawing/2014/main" id="{A2D149D8-D17F-4A8D-85F0-E76F312CEA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403860</xdr:colOff>
      <xdr:row>7</xdr:row>
      <xdr:rowOff>160021</xdr:rowOff>
    </xdr:from>
    <xdr:to>
      <xdr:col>3</xdr:col>
      <xdr:colOff>403860</xdr:colOff>
      <xdr:row>14</xdr:row>
      <xdr:rowOff>129541</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626825A3-80C5-4133-BF50-EF6C7088D66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03860" y="1684021"/>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411480</xdr:colOff>
      <xdr:row>16</xdr:row>
      <xdr:rowOff>53341</xdr:rowOff>
    </xdr:from>
    <xdr:to>
      <xdr:col>3</xdr:col>
      <xdr:colOff>411480</xdr:colOff>
      <xdr:row>22</xdr:row>
      <xdr:rowOff>144781</xdr:rowOff>
    </xdr:to>
    <mc:AlternateContent xmlns:mc="http://schemas.openxmlformats.org/markup-compatibility/2006" xmlns:a14="http://schemas.microsoft.com/office/drawing/2010/main">
      <mc:Choice Requires="a14">
        <xdr:graphicFrame macro="">
          <xdr:nvGraphicFramePr>
            <xdr:cNvPr id="6" name="STATUS">
              <a:extLst>
                <a:ext uri="{FF2B5EF4-FFF2-40B4-BE49-F238E27FC236}">
                  <a16:creationId xmlns:a16="http://schemas.microsoft.com/office/drawing/2014/main" id="{598100B3-BD2F-40CD-A698-BFB5EF0A29A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411480" y="3223261"/>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259080</xdr:colOff>
      <xdr:row>9</xdr:row>
      <xdr:rowOff>60961</xdr:rowOff>
    </xdr:from>
    <xdr:to>
      <xdr:col>22</xdr:col>
      <xdr:colOff>259080</xdr:colOff>
      <xdr:row>20</xdr:row>
      <xdr:rowOff>83821</xdr:rowOff>
    </xdr:to>
    <mc:AlternateContent xmlns:mc="http://schemas.openxmlformats.org/markup-compatibility/2006" xmlns:a14="http://schemas.microsoft.com/office/drawing/2010/main">
      <mc:Choice Requires="a14">
        <xdr:graphicFrame macro="">
          <xdr:nvGraphicFramePr>
            <xdr:cNvPr id="7" name="RANK">
              <a:extLst>
                <a:ext uri="{FF2B5EF4-FFF2-40B4-BE49-F238E27FC236}">
                  <a16:creationId xmlns:a16="http://schemas.microsoft.com/office/drawing/2014/main" id="{4693AE50-C7D3-41ED-BEFE-BDFB6A6692AB}"/>
                </a:ext>
              </a:extLst>
            </xdr:cNvPr>
            <xdr:cNvGraphicFramePr/>
          </xdr:nvGraphicFramePr>
          <xdr:xfrm>
            <a:off x="0" y="0"/>
            <a:ext cx="0" cy="0"/>
          </xdr:xfrm>
          <a:graphic>
            <a:graphicData uri="http://schemas.microsoft.com/office/drawing/2010/slicer">
              <sle:slicer xmlns:sle="http://schemas.microsoft.com/office/drawing/2010/slicer" name="RANK"/>
            </a:graphicData>
          </a:graphic>
        </xdr:graphicFrame>
      </mc:Choice>
      <mc:Fallback xmlns="">
        <xdr:sp macro="" textlink="">
          <xdr:nvSpPr>
            <xdr:cNvPr id="0" name=""/>
            <xdr:cNvSpPr>
              <a:spLocks noTextEdit="1"/>
            </xdr:cNvSpPr>
          </xdr:nvSpPr>
          <xdr:spPr>
            <a:xfrm>
              <a:off x="11841480" y="1950721"/>
              <a:ext cx="1828800" cy="2034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601980</xdr:colOff>
      <xdr:row>23</xdr:row>
      <xdr:rowOff>7620</xdr:rowOff>
    </xdr:from>
    <xdr:to>
      <xdr:col>11</xdr:col>
      <xdr:colOff>548640</xdr:colOff>
      <xdr:row>39</xdr:row>
      <xdr:rowOff>160020</xdr:rowOff>
    </xdr:to>
    <xdr:graphicFrame macro="">
      <xdr:nvGraphicFramePr>
        <xdr:cNvPr id="8" name="Chart 7">
          <a:extLst>
            <a:ext uri="{FF2B5EF4-FFF2-40B4-BE49-F238E27FC236}">
              <a16:creationId xmlns:a16="http://schemas.microsoft.com/office/drawing/2014/main" id="{C51CA3F3-DEC3-4B3F-B809-3921C8695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RATHI J" refreshedDate="46110.907617824072" createdVersion="6" refreshedVersion="6" minRefreshableVersion="3" recordCount="154" xr:uid="{289C1768-755A-408D-9B21-9074B4C1FC43}">
  <cacheSource type="worksheet">
    <worksheetSource ref="D1:N1048576" sheet="Student Data"/>
  </cacheSource>
  <cacheFields count="11">
    <cacheField name="ID" numFmtId="0">
      <sharedItems containsString="0" containsBlank="1" containsNumber="1" containsInteger="1" minValue="1001" maxValue="3564" count="139">
        <n v="1001"/>
        <n v="1005"/>
        <n v="1006"/>
        <n v="1102"/>
        <n v="1009"/>
        <n v="1125"/>
        <n v="1003"/>
        <n v="1126"/>
        <n v="1130"/>
        <n v="1215"/>
        <n v="1426"/>
        <n v="1108"/>
        <n v="1135"/>
        <n v="1147"/>
        <n v="1165"/>
        <n v="1312"/>
        <n v="1542"/>
        <n v="1139"/>
        <n v="1199"/>
        <n v="1019"/>
        <n v="1395"/>
        <n v="1310"/>
        <n v="1547"/>
        <n v="1520"/>
        <n v="1129"/>
        <n v="1145"/>
        <n v="1187"/>
        <n v="1136"/>
        <n v="1216"/>
        <n v="1219"/>
        <n v="1325"/>
        <n v="1356"/>
        <n v="1423"/>
        <n v="1659"/>
        <n v="1746"/>
        <n v="1549"/>
        <n v="1495"/>
        <n v="1050"/>
        <n v="1064"/>
        <n v="1089"/>
        <n v="1023"/>
        <n v="1154"/>
        <n v="1324"/>
        <n v="1065"/>
        <n v="1160"/>
        <n v="1984"/>
        <n v="1845"/>
        <n v="1867"/>
        <n v="1612"/>
        <n v="1532"/>
        <n v="1412"/>
        <n v="1785"/>
        <n v="1100"/>
        <n v="1190"/>
        <n v="1413"/>
        <n v="1525"/>
        <n v="1649"/>
        <n v="1898"/>
        <n v="1398"/>
        <n v="1210"/>
        <n v="1650"/>
        <n v="1340"/>
        <n v="1798"/>
        <n v="1652"/>
        <n v="1429"/>
        <n v="1013"/>
        <n v="1198"/>
        <n v="1157"/>
        <n v="1414"/>
        <n v="1646"/>
        <n v="1819"/>
        <n v="1918"/>
        <n v="1716"/>
        <n v="1519"/>
        <n v="1251"/>
        <n v="1221"/>
        <n v="1546"/>
        <n v="1551"/>
        <n v="1986"/>
        <n v="1131"/>
        <n v="1225"/>
        <n v="1636"/>
        <n v="2656"/>
        <n v="2341"/>
        <n v="2020"/>
        <n v="2010"/>
        <n v="2013"/>
        <n v="2034"/>
        <n v="2016"/>
        <n v="2019"/>
        <n v="2011"/>
        <n v="2022"/>
        <n v="2024"/>
        <n v="2029"/>
        <n v="2035"/>
        <n v="2046"/>
        <n v="2049"/>
        <n v="2050"/>
        <n v="2040"/>
        <n v="2039"/>
        <n v="2115"/>
        <n v="2312"/>
        <n v="2033"/>
        <n v="2003"/>
        <n v="2006"/>
        <n v="2036"/>
        <n v="2009"/>
        <n v="2332"/>
        <n v="2339"/>
        <n v="2643"/>
        <n v="2412"/>
        <n v="2815"/>
        <n v="2794"/>
        <n v="2032"/>
        <n v="2503"/>
        <n v="2403"/>
        <n v="2600"/>
        <n v="2419"/>
        <n v="2619"/>
        <n v="3001"/>
        <n v="3006"/>
        <n v="3005"/>
        <n v="3010"/>
        <n v="3019"/>
        <n v="3020"/>
        <n v="3018"/>
        <n v="3026"/>
        <n v="3008"/>
        <n v="3027"/>
        <n v="3115"/>
        <n v="3029"/>
        <n v="3151"/>
        <n v="3246"/>
        <n v="3221"/>
        <n v="3200"/>
        <n v="3201"/>
        <n v="3564"/>
        <n v="3265"/>
        <m/>
      </sharedItems>
      <fieldGroup base="0">
        <rangePr startNum="1001" endNum="3564" groupInterval="300"/>
        <groupItems count="11">
          <s v="(blank)"/>
          <s v="1001-1300"/>
          <s v="1301-1600"/>
          <s v="1601-1900"/>
          <s v="1901-2200"/>
          <s v="2201-2500"/>
          <s v="2501-2800"/>
          <s v="2801-3100"/>
          <s v="3101-3400"/>
          <s v="3401-3700"/>
          <s v="&gt;3701"/>
        </groupItems>
      </fieldGroup>
    </cacheField>
    <cacheField name="STUDENT_NAME" numFmtId="0">
      <sharedItems containsBlank="1" count="95">
        <s v="Emma"/>
        <s v="Sudheer"/>
        <s v="Srija"/>
        <s v="Mia"/>
        <s v="Ajay"/>
        <s v="Luna"/>
        <s v="Ashok"/>
        <s v="Amith"/>
        <s v="Taylore"/>
        <s v="John"/>
        <s v="Eligibeth"/>
        <s v="Tina"/>
        <s v="Kiyara"/>
        <s v="Sreedhar"/>
        <s v="Devid"/>
        <s v="Albert"/>
        <s v="Krithi"/>
        <s v="Srinu"/>
        <s v="Aaron"/>
        <s v="Ardian"/>
        <s v="Bella"/>
        <s v="Claire"/>
        <s v="Daisy"/>
        <s v="Ellie"/>
        <s v="Sean"/>
        <s v="Parker"/>
        <s v="Jason"/>
        <s v="Trevor"/>
        <s v="Hunter"/>
        <s v="Addison"/>
        <s v="Hailey"/>
        <s v="Jade"/>
        <s v="Ram"/>
        <s v="Camila"/>
        <s v="Samantha"/>
        <s v="Natalie"/>
        <s v="Arjun"/>
        <s v="Kaveri"/>
        <s v="Bharath"/>
        <s v="Smitha"/>
        <s v="Sneha"/>
        <s v="Sreeja"/>
        <s v="Sameera"/>
        <s v="Everly"/>
        <s v="Jordan"/>
        <s v="Sophiya"/>
        <s v="Sohel"/>
        <s v="Sharadha"/>
        <s v="Sritha"/>
        <s v="Paisley"/>
        <s v="Joseph"/>
        <s v="Krish"/>
        <s v="Susmitha"/>
        <s v="Anshu"/>
        <s v="Aakash"/>
        <s v="Gabriella"/>
        <s v="Kayla"/>
        <s v="Lillian"/>
        <s v="Adrian"/>
        <s v="Evan"/>
        <s v="Isaac"/>
        <s v="Kyle"/>
        <s v="Sekhar"/>
        <s v="Lucas"/>
        <s v="Ajith"/>
        <s v="Amrith"/>
        <s v="Shuhas"/>
        <s v="Kaml"/>
        <s v="Kiran"/>
        <s v="Sahasra"/>
        <s v="Srasti"/>
        <s v="Mano"/>
        <s v="Abhishek"/>
        <s v="Susuila"/>
        <s v="Susma"/>
        <s v="Ava"/>
        <s v="Chloe"/>
        <s v="Krishna"/>
        <s v="Sumanth"/>
        <s v="Suman "/>
        <s v="Bharani"/>
        <s v="Thanuja"/>
        <s v="Anirudh"/>
        <s v="Anurag"/>
        <s v="Gokul"/>
        <s v="Balaji"/>
        <s v="Bhagya"/>
        <s v="Lavanya"/>
        <s v="Hema"/>
        <s v="Bindhu"/>
        <s v="Bhargav"/>
        <s v="Hemanth"/>
        <s v="Chaithanya"/>
        <s v="Nag"/>
        <m/>
      </sharedItems>
    </cacheField>
    <cacheField name="GENDER" numFmtId="0">
      <sharedItems containsBlank="1" count="3">
        <s v="Female"/>
        <s v="Male"/>
        <m/>
      </sharedItems>
    </cacheField>
    <cacheField name="DEPARTMENT" numFmtId="0">
      <sharedItems containsBlank="1" count="6">
        <s v="CSE"/>
        <s v="ECE"/>
        <s v="EEE"/>
        <s v="AI&amp;ML"/>
        <s v="CIVIL"/>
        <m/>
      </sharedItems>
    </cacheField>
    <cacheField name="SUB-1" numFmtId="0">
      <sharedItems containsString="0" containsBlank="1" containsNumber="1" containsInteger="1" minValue="12" maxValue="99"/>
    </cacheField>
    <cacheField name="SUB-2" numFmtId="0">
      <sharedItems containsString="0" containsBlank="1" containsNumber="1" containsInteger="1" minValue="12" maxValue="96"/>
    </cacheField>
    <cacheField name="TOTAL" numFmtId="0">
      <sharedItems containsString="0" containsBlank="1" containsNumber="1" containsInteger="1" minValue="46" maxValue="189"/>
    </cacheField>
    <cacheField name="AVERAGE " numFmtId="0">
      <sharedItems containsString="0" containsBlank="1" containsNumber="1" minValue="23" maxValue="94.5"/>
    </cacheField>
    <cacheField name="GRADE" numFmtId="0">
      <sharedItems containsBlank="1"/>
    </cacheField>
    <cacheField name="STATUS" numFmtId="0">
      <sharedItems containsBlank="1" count="3">
        <s v="Pass"/>
        <s v="Fail"/>
        <m/>
      </sharedItems>
    </cacheField>
    <cacheField name="RANK" numFmtId="0">
      <sharedItems containsBlank="1" count="6">
        <s v="2nd Rank"/>
        <s v="1st Rank"/>
        <s v="3rd Rank"/>
        <s v="5th Rank"/>
        <s v="4th Rank"/>
        <m/>
      </sharedItems>
    </cacheField>
  </cacheFields>
  <extLst>
    <ext xmlns:x14="http://schemas.microsoft.com/office/spreadsheetml/2009/9/main" uri="{725AE2AE-9491-48be-B2B4-4EB974FC3084}">
      <x14:pivotCacheDefinition pivotCacheId="18232238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4">
  <r>
    <x v="0"/>
    <x v="0"/>
    <x v="0"/>
    <x v="0"/>
    <n v="90"/>
    <n v="65"/>
    <n v="155"/>
    <n v="77.5"/>
    <s v="B"/>
    <x v="0"/>
    <x v="0"/>
  </r>
  <r>
    <x v="1"/>
    <x v="1"/>
    <x v="1"/>
    <x v="1"/>
    <n v="98"/>
    <n v="91"/>
    <n v="189"/>
    <n v="94.5"/>
    <s v="A"/>
    <x v="0"/>
    <x v="1"/>
  </r>
  <r>
    <x v="2"/>
    <x v="2"/>
    <x v="0"/>
    <x v="2"/>
    <n v="92"/>
    <n v="90"/>
    <n v="182"/>
    <n v="91"/>
    <s v="A"/>
    <x v="0"/>
    <x v="1"/>
  </r>
  <r>
    <x v="3"/>
    <x v="3"/>
    <x v="0"/>
    <x v="0"/>
    <n v="99"/>
    <n v="75"/>
    <n v="174"/>
    <n v="87"/>
    <s v="B"/>
    <x v="0"/>
    <x v="0"/>
  </r>
  <r>
    <x v="4"/>
    <x v="4"/>
    <x v="1"/>
    <x v="3"/>
    <n v="35"/>
    <n v="77"/>
    <n v="112"/>
    <n v="56"/>
    <s v="C"/>
    <x v="1"/>
    <x v="2"/>
  </r>
  <r>
    <x v="5"/>
    <x v="5"/>
    <x v="0"/>
    <x v="2"/>
    <n v="82"/>
    <n v="45"/>
    <n v="127"/>
    <n v="63.5"/>
    <s v="C"/>
    <x v="0"/>
    <x v="2"/>
  </r>
  <r>
    <x v="6"/>
    <x v="6"/>
    <x v="1"/>
    <x v="1"/>
    <n v="87"/>
    <n v="42"/>
    <n v="129"/>
    <n v="64.5"/>
    <s v="C"/>
    <x v="0"/>
    <x v="2"/>
  </r>
  <r>
    <x v="7"/>
    <x v="7"/>
    <x v="1"/>
    <x v="0"/>
    <n v="40"/>
    <n v="40"/>
    <n v="80"/>
    <n v="40"/>
    <s v="E"/>
    <x v="1"/>
    <x v="3"/>
  </r>
  <r>
    <x v="8"/>
    <x v="8"/>
    <x v="1"/>
    <x v="0"/>
    <n v="44"/>
    <n v="46"/>
    <n v="90"/>
    <n v="45"/>
    <s v="D"/>
    <x v="0"/>
    <x v="4"/>
  </r>
  <r>
    <x v="9"/>
    <x v="9"/>
    <x v="1"/>
    <x v="4"/>
    <n v="50"/>
    <n v="85"/>
    <n v="135"/>
    <n v="67.5"/>
    <s v="C"/>
    <x v="0"/>
    <x v="2"/>
  </r>
  <r>
    <x v="10"/>
    <x v="10"/>
    <x v="0"/>
    <x v="0"/>
    <n v="53"/>
    <n v="55"/>
    <n v="108"/>
    <n v="54"/>
    <s v="D"/>
    <x v="0"/>
    <x v="4"/>
  </r>
  <r>
    <x v="11"/>
    <x v="11"/>
    <x v="0"/>
    <x v="1"/>
    <n v="65"/>
    <n v="62"/>
    <n v="127"/>
    <n v="63.5"/>
    <s v="C"/>
    <x v="0"/>
    <x v="2"/>
  </r>
  <r>
    <x v="6"/>
    <x v="12"/>
    <x v="0"/>
    <x v="1"/>
    <n v="69"/>
    <n v="35"/>
    <n v="104"/>
    <n v="52"/>
    <s v="D"/>
    <x v="1"/>
    <x v="4"/>
  </r>
  <r>
    <x v="12"/>
    <x v="13"/>
    <x v="1"/>
    <x v="2"/>
    <n v="70"/>
    <n v="49"/>
    <n v="119"/>
    <n v="59.5"/>
    <s v="C"/>
    <x v="0"/>
    <x v="2"/>
  </r>
  <r>
    <x v="13"/>
    <x v="14"/>
    <x v="1"/>
    <x v="3"/>
    <n v="77"/>
    <n v="56"/>
    <n v="133"/>
    <n v="66.5"/>
    <s v="C"/>
    <x v="0"/>
    <x v="2"/>
  </r>
  <r>
    <x v="14"/>
    <x v="9"/>
    <x v="1"/>
    <x v="3"/>
    <n v="36"/>
    <n v="58"/>
    <n v="94"/>
    <n v="47"/>
    <s v="D"/>
    <x v="1"/>
    <x v="4"/>
  </r>
  <r>
    <x v="15"/>
    <x v="15"/>
    <x v="1"/>
    <x v="0"/>
    <n v="25"/>
    <n v="75"/>
    <n v="100"/>
    <n v="50"/>
    <s v="D"/>
    <x v="1"/>
    <x v="4"/>
  </r>
  <r>
    <x v="16"/>
    <x v="16"/>
    <x v="0"/>
    <x v="2"/>
    <n v="56"/>
    <n v="79"/>
    <n v="135"/>
    <n v="67.5"/>
    <s v="C"/>
    <x v="0"/>
    <x v="2"/>
  </r>
  <r>
    <x v="17"/>
    <x v="17"/>
    <x v="1"/>
    <x v="1"/>
    <n v="59"/>
    <n v="70"/>
    <n v="129"/>
    <n v="64.5"/>
    <s v="C"/>
    <x v="0"/>
    <x v="2"/>
  </r>
  <r>
    <x v="16"/>
    <x v="18"/>
    <x v="1"/>
    <x v="1"/>
    <n v="35"/>
    <n v="43"/>
    <n v="78"/>
    <n v="39"/>
    <s v="E"/>
    <x v="1"/>
    <x v="3"/>
  </r>
  <r>
    <x v="18"/>
    <x v="19"/>
    <x v="1"/>
    <x v="1"/>
    <n v="33"/>
    <n v="44"/>
    <n v="77"/>
    <n v="38.5"/>
    <s v="E"/>
    <x v="1"/>
    <x v="3"/>
  </r>
  <r>
    <x v="19"/>
    <x v="20"/>
    <x v="0"/>
    <x v="3"/>
    <n v="90"/>
    <n v="49"/>
    <n v="139"/>
    <n v="69.5"/>
    <s v="C"/>
    <x v="0"/>
    <x v="2"/>
  </r>
  <r>
    <x v="20"/>
    <x v="21"/>
    <x v="0"/>
    <x v="0"/>
    <n v="90"/>
    <n v="87"/>
    <n v="177"/>
    <n v="88.5"/>
    <s v="B"/>
    <x v="0"/>
    <x v="0"/>
  </r>
  <r>
    <x v="21"/>
    <x v="22"/>
    <x v="0"/>
    <x v="0"/>
    <n v="51"/>
    <n v="55"/>
    <n v="106"/>
    <n v="53"/>
    <s v="D"/>
    <x v="0"/>
    <x v="4"/>
  </r>
  <r>
    <x v="22"/>
    <x v="23"/>
    <x v="0"/>
    <x v="4"/>
    <n v="55"/>
    <n v="52"/>
    <n v="107"/>
    <n v="53.5"/>
    <s v="D"/>
    <x v="0"/>
    <x v="4"/>
  </r>
  <r>
    <x v="21"/>
    <x v="24"/>
    <x v="1"/>
    <x v="3"/>
    <n v="57"/>
    <n v="56"/>
    <n v="113"/>
    <n v="56.5"/>
    <s v="C"/>
    <x v="0"/>
    <x v="2"/>
  </r>
  <r>
    <x v="23"/>
    <x v="25"/>
    <x v="1"/>
    <x v="2"/>
    <n v="45"/>
    <n v="90"/>
    <n v="135"/>
    <n v="67.5"/>
    <s v="C"/>
    <x v="0"/>
    <x v="2"/>
  </r>
  <r>
    <x v="24"/>
    <x v="26"/>
    <x v="1"/>
    <x v="2"/>
    <n v="44"/>
    <n v="47"/>
    <n v="91"/>
    <n v="45.5"/>
    <s v="D"/>
    <x v="0"/>
    <x v="4"/>
  </r>
  <r>
    <x v="25"/>
    <x v="24"/>
    <x v="1"/>
    <x v="2"/>
    <n v="42"/>
    <n v="43"/>
    <n v="85"/>
    <n v="42.5"/>
    <s v="D"/>
    <x v="0"/>
    <x v="4"/>
  </r>
  <r>
    <x v="26"/>
    <x v="27"/>
    <x v="1"/>
    <x v="4"/>
    <n v="36"/>
    <n v="33"/>
    <n v="69"/>
    <n v="34.5"/>
    <s v="E"/>
    <x v="1"/>
    <x v="3"/>
  </r>
  <r>
    <x v="27"/>
    <x v="28"/>
    <x v="1"/>
    <x v="1"/>
    <n v="39"/>
    <n v="68"/>
    <n v="107"/>
    <n v="53.5"/>
    <s v="D"/>
    <x v="1"/>
    <x v="4"/>
  </r>
  <r>
    <x v="28"/>
    <x v="29"/>
    <x v="1"/>
    <x v="0"/>
    <n v="91"/>
    <n v="73"/>
    <n v="164"/>
    <n v="82"/>
    <s v="B"/>
    <x v="0"/>
    <x v="0"/>
  </r>
  <r>
    <x v="29"/>
    <x v="30"/>
    <x v="1"/>
    <x v="0"/>
    <n v="30"/>
    <n v="77"/>
    <n v="107"/>
    <n v="53.5"/>
    <s v="D"/>
    <x v="1"/>
    <x v="4"/>
  </r>
  <r>
    <x v="30"/>
    <x v="31"/>
    <x v="1"/>
    <x v="3"/>
    <n v="69"/>
    <n v="56"/>
    <n v="125"/>
    <n v="62.5"/>
    <s v="C"/>
    <x v="0"/>
    <x v="2"/>
  </r>
  <r>
    <x v="31"/>
    <x v="6"/>
    <x v="1"/>
    <x v="2"/>
    <n v="65"/>
    <n v="55"/>
    <n v="120"/>
    <n v="60"/>
    <s v="C"/>
    <x v="0"/>
    <x v="2"/>
  </r>
  <r>
    <x v="32"/>
    <x v="14"/>
    <x v="1"/>
    <x v="1"/>
    <n v="71"/>
    <n v="56"/>
    <n v="127"/>
    <n v="63.5"/>
    <s v="C"/>
    <x v="0"/>
    <x v="2"/>
  </r>
  <r>
    <x v="33"/>
    <x v="32"/>
    <x v="1"/>
    <x v="1"/>
    <n v="72"/>
    <n v="55"/>
    <n v="127"/>
    <n v="63.5"/>
    <s v="C"/>
    <x v="0"/>
    <x v="2"/>
  </r>
  <r>
    <x v="34"/>
    <x v="33"/>
    <x v="0"/>
    <x v="3"/>
    <n v="84"/>
    <n v="58"/>
    <n v="142"/>
    <n v="71"/>
    <s v="C"/>
    <x v="0"/>
    <x v="2"/>
  </r>
  <r>
    <x v="35"/>
    <x v="10"/>
    <x v="0"/>
    <x v="0"/>
    <n v="62"/>
    <n v="40"/>
    <n v="102"/>
    <n v="51"/>
    <s v="D"/>
    <x v="1"/>
    <x v="4"/>
  </r>
  <r>
    <x v="36"/>
    <x v="3"/>
    <x v="0"/>
    <x v="0"/>
    <n v="36"/>
    <n v="12"/>
    <n v="48"/>
    <n v="24"/>
    <s v="E"/>
    <x v="1"/>
    <x v="3"/>
  </r>
  <r>
    <x v="37"/>
    <x v="12"/>
    <x v="0"/>
    <x v="3"/>
    <n v="36"/>
    <n v="44"/>
    <n v="80"/>
    <n v="40"/>
    <s v="E"/>
    <x v="1"/>
    <x v="3"/>
  </r>
  <r>
    <x v="38"/>
    <x v="34"/>
    <x v="0"/>
    <x v="3"/>
    <n v="25"/>
    <n v="45"/>
    <n v="70"/>
    <n v="35"/>
    <s v="E"/>
    <x v="1"/>
    <x v="3"/>
  </r>
  <r>
    <x v="39"/>
    <x v="35"/>
    <x v="1"/>
    <x v="3"/>
    <n v="52"/>
    <n v="48"/>
    <n v="100"/>
    <n v="50"/>
    <s v="D"/>
    <x v="0"/>
    <x v="4"/>
  </r>
  <r>
    <x v="40"/>
    <x v="36"/>
    <x v="1"/>
    <x v="1"/>
    <n v="54"/>
    <n v="49"/>
    <n v="103"/>
    <n v="51.5"/>
    <s v="D"/>
    <x v="0"/>
    <x v="4"/>
  </r>
  <r>
    <x v="8"/>
    <x v="37"/>
    <x v="0"/>
    <x v="2"/>
    <n v="55"/>
    <n v="43"/>
    <n v="98"/>
    <n v="49"/>
    <s v="D"/>
    <x v="0"/>
    <x v="4"/>
  </r>
  <r>
    <x v="41"/>
    <x v="7"/>
    <x v="1"/>
    <x v="4"/>
    <n v="85"/>
    <n v="47"/>
    <n v="132"/>
    <n v="66"/>
    <s v="C"/>
    <x v="0"/>
    <x v="2"/>
  </r>
  <r>
    <x v="7"/>
    <x v="13"/>
    <x v="1"/>
    <x v="4"/>
    <n v="75"/>
    <n v="75"/>
    <n v="150"/>
    <n v="75"/>
    <s v="B"/>
    <x v="0"/>
    <x v="0"/>
  </r>
  <r>
    <x v="42"/>
    <x v="38"/>
    <x v="1"/>
    <x v="0"/>
    <n v="59"/>
    <n v="77"/>
    <n v="136"/>
    <n v="68"/>
    <s v="C"/>
    <x v="0"/>
    <x v="2"/>
  </r>
  <r>
    <x v="43"/>
    <x v="16"/>
    <x v="0"/>
    <x v="0"/>
    <n v="72"/>
    <n v="76"/>
    <n v="148"/>
    <n v="74"/>
    <s v="C"/>
    <x v="0"/>
    <x v="2"/>
  </r>
  <r>
    <x v="44"/>
    <x v="39"/>
    <x v="0"/>
    <x v="0"/>
    <n v="70"/>
    <n v="84"/>
    <n v="154"/>
    <n v="77"/>
    <s v="B"/>
    <x v="0"/>
    <x v="0"/>
  </r>
  <r>
    <x v="45"/>
    <x v="40"/>
    <x v="0"/>
    <x v="3"/>
    <n v="66"/>
    <n v="88"/>
    <n v="154"/>
    <n v="77"/>
    <s v="B"/>
    <x v="0"/>
    <x v="0"/>
  </r>
  <r>
    <x v="46"/>
    <x v="36"/>
    <x v="1"/>
    <x v="2"/>
    <n v="73"/>
    <n v="83"/>
    <n v="156"/>
    <n v="78"/>
    <s v="B"/>
    <x v="0"/>
    <x v="0"/>
  </r>
  <r>
    <x v="47"/>
    <x v="6"/>
    <x v="1"/>
    <x v="1"/>
    <n v="84"/>
    <n v="82"/>
    <n v="166"/>
    <n v="83"/>
    <s v="B"/>
    <x v="0"/>
    <x v="0"/>
  </r>
  <r>
    <x v="48"/>
    <x v="14"/>
    <x v="1"/>
    <x v="4"/>
    <n v="91"/>
    <n v="80"/>
    <n v="171"/>
    <n v="85.5"/>
    <s v="B"/>
    <x v="0"/>
    <x v="0"/>
  </r>
  <r>
    <x v="49"/>
    <x v="41"/>
    <x v="0"/>
    <x v="2"/>
    <n v="92"/>
    <n v="42"/>
    <n v="134"/>
    <n v="67"/>
    <s v="C"/>
    <x v="0"/>
    <x v="2"/>
  </r>
  <r>
    <x v="50"/>
    <x v="42"/>
    <x v="0"/>
    <x v="0"/>
    <n v="56"/>
    <n v="35"/>
    <n v="91"/>
    <n v="45.5"/>
    <s v="D"/>
    <x v="1"/>
    <x v="4"/>
  </r>
  <r>
    <x v="51"/>
    <x v="43"/>
    <x v="0"/>
    <x v="1"/>
    <n v="55"/>
    <n v="30"/>
    <n v="85"/>
    <n v="42.5"/>
    <s v="D"/>
    <x v="1"/>
    <x v="4"/>
  </r>
  <r>
    <x v="52"/>
    <x v="23"/>
    <x v="0"/>
    <x v="0"/>
    <n v="74"/>
    <n v="20"/>
    <n v="94"/>
    <n v="47"/>
    <s v="D"/>
    <x v="1"/>
    <x v="4"/>
  </r>
  <r>
    <x v="53"/>
    <x v="44"/>
    <x v="1"/>
    <x v="0"/>
    <n v="77"/>
    <n v="22"/>
    <n v="99"/>
    <n v="49.5"/>
    <s v="D"/>
    <x v="1"/>
    <x v="4"/>
  </r>
  <r>
    <x v="54"/>
    <x v="45"/>
    <x v="0"/>
    <x v="0"/>
    <n v="64"/>
    <n v="33"/>
    <n v="97"/>
    <n v="48.5"/>
    <s v="D"/>
    <x v="1"/>
    <x v="4"/>
  </r>
  <r>
    <x v="55"/>
    <x v="39"/>
    <x v="0"/>
    <x v="4"/>
    <n v="36"/>
    <n v="62"/>
    <n v="98"/>
    <n v="49"/>
    <s v="D"/>
    <x v="1"/>
    <x v="4"/>
  </r>
  <r>
    <x v="56"/>
    <x v="46"/>
    <x v="1"/>
    <x v="0"/>
    <n v="93"/>
    <n v="60"/>
    <n v="153"/>
    <n v="76.5"/>
    <s v="B"/>
    <x v="0"/>
    <x v="0"/>
  </r>
  <r>
    <x v="57"/>
    <x v="47"/>
    <x v="0"/>
    <x v="1"/>
    <n v="40"/>
    <n v="95"/>
    <n v="135"/>
    <n v="67.5"/>
    <s v="C"/>
    <x v="1"/>
    <x v="2"/>
  </r>
  <r>
    <x v="58"/>
    <x v="48"/>
    <x v="0"/>
    <x v="1"/>
    <n v="76"/>
    <n v="47"/>
    <n v="123"/>
    <n v="61.5"/>
    <s v="C"/>
    <x v="0"/>
    <x v="2"/>
  </r>
  <r>
    <x v="59"/>
    <x v="34"/>
    <x v="0"/>
    <x v="2"/>
    <n v="84"/>
    <n v="89"/>
    <n v="173"/>
    <n v="86.5"/>
    <s v="B"/>
    <x v="0"/>
    <x v="0"/>
  </r>
  <r>
    <x v="60"/>
    <x v="17"/>
    <x v="1"/>
    <x v="3"/>
    <n v="88"/>
    <n v="86"/>
    <n v="174"/>
    <n v="87"/>
    <s v="B"/>
    <x v="0"/>
    <x v="0"/>
  </r>
  <r>
    <x v="61"/>
    <x v="38"/>
    <x v="1"/>
    <x v="0"/>
    <n v="88"/>
    <n v="71"/>
    <n v="159"/>
    <n v="79.5"/>
    <s v="B"/>
    <x v="0"/>
    <x v="0"/>
  </r>
  <r>
    <x v="16"/>
    <x v="49"/>
    <x v="1"/>
    <x v="3"/>
    <n v="90"/>
    <n v="76"/>
    <n v="166"/>
    <n v="83"/>
    <s v="B"/>
    <x v="0"/>
    <x v="0"/>
  </r>
  <r>
    <x v="62"/>
    <x v="30"/>
    <x v="1"/>
    <x v="2"/>
    <n v="43"/>
    <n v="44"/>
    <n v="87"/>
    <n v="43.5"/>
    <s v="D"/>
    <x v="0"/>
    <x v="4"/>
  </r>
  <r>
    <x v="63"/>
    <x v="10"/>
    <x v="0"/>
    <x v="3"/>
    <n v="56"/>
    <n v="43"/>
    <n v="99"/>
    <n v="49.5"/>
    <s v="D"/>
    <x v="0"/>
    <x v="4"/>
  </r>
  <r>
    <x v="64"/>
    <x v="0"/>
    <x v="0"/>
    <x v="3"/>
    <n v="58"/>
    <n v="55"/>
    <n v="113"/>
    <n v="56.5"/>
    <s v="C"/>
    <x v="0"/>
    <x v="2"/>
  </r>
  <r>
    <x v="65"/>
    <x v="12"/>
    <x v="0"/>
    <x v="4"/>
    <n v="52"/>
    <n v="50"/>
    <n v="102"/>
    <n v="51"/>
    <s v="D"/>
    <x v="0"/>
    <x v="4"/>
  </r>
  <r>
    <x v="66"/>
    <x v="44"/>
    <x v="1"/>
    <x v="3"/>
    <n v="50"/>
    <n v="50"/>
    <n v="100"/>
    <n v="50"/>
    <s v="D"/>
    <x v="0"/>
    <x v="4"/>
  </r>
  <r>
    <x v="67"/>
    <x v="50"/>
    <x v="1"/>
    <x v="3"/>
    <n v="42"/>
    <n v="50"/>
    <n v="92"/>
    <n v="46"/>
    <s v="D"/>
    <x v="0"/>
    <x v="4"/>
  </r>
  <r>
    <x v="68"/>
    <x v="22"/>
    <x v="1"/>
    <x v="0"/>
    <n v="46"/>
    <n v="43"/>
    <n v="89"/>
    <n v="44.5"/>
    <s v="D"/>
    <x v="0"/>
    <x v="4"/>
  </r>
  <r>
    <x v="69"/>
    <x v="51"/>
    <x v="1"/>
    <x v="0"/>
    <n v="44"/>
    <n v="36"/>
    <n v="80"/>
    <n v="40"/>
    <s v="E"/>
    <x v="1"/>
    <x v="3"/>
  </r>
  <r>
    <x v="70"/>
    <x v="7"/>
    <x v="1"/>
    <x v="2"/>
    <n v="74"/>
    <n v="66"/>
    <n v="140"/>
    <n v="70"/>
    <s v="C"/>
    <x v="0"/>
    <x v="2"/>
  </r>
  <r>
    <x v="71"/>
    <x v="1"/>
    <x v="1"/>
    <x v="1"/>
    <n v="76"/>
    <n v="88"/>
    <n v="164"/>
    <n v="82"/>
    <s v="B"/>
    <x v="0"/>
    <x v="0"/>
  </r>
  <r>
    <x v="72"/>
    <x v="52"/>
    <x v="0"/>
    <x v="2"/>
    <n v="35"/>
    <n v="33"/>
    <n v="68"/>
    <n v="34"/>
    <s v="E"/>
    <x v="1"/>
    <x v="3"/>
  </r>
  <r>
    <x v="73"/>
    <x v="53"/>
    <x v="0"/>
    <x v="2"/>
    <n v="46"/>
    <n v="45"/>
    <n v="91"/>
    <n v="45.5"/>
    <s v="D"/>
    <x v="0"/>
    <x v="4"/>
  </r>
  <r>
    <x v="74"/>
    <x v="54"/>
    <x v="1"/>
    <x v="3"/>
    <n v="82"/>
    <n v="71"/>
    <n v="153"/>
    <n v="76.5"/>
    <s v="B"/>
    <x v="0"/>
    <x v="0"/>
  </r>
  <r>
    <x v="75"/>
    <x v="55"/>
    <x v="0"/>
    <x v="0"/>
    <n v="86"/>
    <n v="46"/>
    <n v="132"/>
    <n v="66"/>
    <s v="C"/>
    <x v="0"/>
    <x v="2"/>
  </r>
  <r>
    <x v="76"/>
    <x v="56"/>
    <x v="0"/>
    <x v="0"/>
    <n v="59"/>
    <n v="84"/>
    <n v="143"/>
    <n v="71.5"/>
    <s v="C"/>
    <x v="0"/>
    <x v="2"/>
  </r>
  <r>
    <x v="77"/>
    <x v="57"/>
    <x v="0"/>
    <x v="0"/>
    <n v="57"/>
    <n v="88"/>
    <n v="145"/>
    <n v="72.5"/>
    <s v="C"/>
    <x v="0"/>
    <x v="2"/>
  </r>
  <r>
    <x v="78"/>
    <x v="18"/>
    <x v="1"/>
    <x v="2"/>
    <n v="46"/>
    <n v="81"/>
    <n v="127"/>
    <n v="63.5"/>
    <s v="C"/>
    <x v="0"/>
    <x v="2"/>
  </r>
  <r>
    <x v="79"/>
    <x v="58"/>
    <x v="1"/>
    <x v="4"/>
    <n v="74"/>
    <n v="49"/>
    <n v="123"/>
    <n v="61.5"/>
    <s v="C"/>
    <x v="0"/>
    <x v="2"/>
  </r>
  <r>
    <x v="80"/>
    <x v="59"/>
    <x v="1"/>
    <x v="4"/>
    <n v="76"/>
    <n v="49"/>
    <n v="125"/>
    <n v="62.5"/>
    <s v="C"/>
    <x v="0"/>
    <x v="2"/>
  </r>
  <r>
    <x v="81"/>
    <x v="50"/>
    <x v="1"/>
    <x v="3"/>
    <n v="77"/>
    <n v="49"/>
    <n v="126"/>
    <n v="63"/>
    <s v="C"/>
    <x v="0"/>
    <x v="2"/>
  </r>
  <r>
    <x v="82"/>
    <x v="8"/>
    <x v="1"/>
    <x v="1"/>
    <n v="87"/>
    <n v="43"/>
    <n v="130"/>
    <n v="65"/>
    <s v="C"/>
    <x v="0"/>
    <x v="2"/>
  </r>
  <r>
    <x v="83"/>
    <x v="60"/>
    <x v="0"/>
    <x v="1"/>
    <n v="89"/>
    <n v="55"/>
    <n v="144"/>
    <n v="72"/>
    <s v="C"/>
    <x v="0"/>
    <x v="2"/>
  </r>
  <r>
    <x v="84"/>
    <x v="26"/>
    <x v="1"/>
    <x v="0"/>
    <n v="80"/>
    <n v="58"/>
    <n v="138"/>
    <n v="69"/>
    <s v="C"/>
    <x v="0"/>
    <x v="2"/>
  </r>
  <r>
    <x v="85"/>
    <x v="39"/>
    <x v="0"/>
    <x v="0"/>
    <n v="24"/>
    <n v="43"/>
    <n v="67"/>
    <n v="33.5"/>
    <s v="E"/>
    <x v="1"/>
    <x v="3"/>
  </r>
  <r>
    <x v="86"/>
    <x v="38"/>
    <x v="1"/>
    <x v="4"/>
    <n v="64"/>
    <n v="40"/>
    <n v="104"/>
    <n v="52"/>
    <s v="D"/>
    <x v="1"/>
    <x v="4"/>
  </r>
  <r>
    <x v="87"/>
    <x v="61"/>
    <x v="0"/>
    <x v="3"/>
    <n v="65"/>
    <n v="55"/>
    <n v="120"/>
    <n v="60"/>
    <s v="C"/>
    <x v="0"/>
    <x v="2"/>
  </r>
  <r>
    <x v="88"/>
    <x v="0"/>
    <x v="0"/>
    <x v="4"/>
    <n v="35"/>
    <n v="59"/>
    <n v="94"/>
    <n v="47"/>
    <s v="D"/>
    <x v="1"/>
    <x v="4"/>
  </r>
  <r>
    <x v="89"/>
    <x v="11"/>
    <x v="0"/>
    <x v="1"/>
    <n v="38"/>
    <n v="32"/>
    <n v="70"/>
    <n v="35"/>
    <s v="E"/>
    <x v="1"/>
    <x v="3"/>
  </r>
  <r>
    <x v="90"/>
    <x v="5"/>
    <x v="0"/>
    <x v="1"/>
    <n v="78"/>
    <n v="26"/>
    <n v="104"/>
    <n v="52"/>
    <s v="D"/>
    <x v="1"/>
    <x v="4"/>
  </r>
  <r>
    <x v="86"/>
    <x v="12"/>
    <x v="0"/>
    <x v="2"/>
    <n v="77"/>
    <n v="24"/>
    <n v="101"/>
    <n v="50.5"/>
    <s v="D"/>
    <x v="1"/>
    <x v="4"/>
  </r>
  <r>
    <x v="91"/>
    <x v="7"/>
    <x v="1"/>
    <x v="0"/>
    <n v="40"/>
    <n v="15"/>
    <n v="55"/>
    <n v="27.5"/>
    <s v="E"/>
    <x v="1"/>
    <x v="3"/>
  </r>
  <r>
    <x v="92"/>
    <x v="13"/>
    <x v="1"/>
    <x v="0"/>
    <n v="40"/>
    <n v="18"/>
    <n v="58"/>
    <n v="29"/>
    <s v="E"/>
    <x v="1"/>
    <x v="3"/>
  </r>
  <r>
    <x v="93"/>
    <x v="62"/>
    <x v="1"/>
    <x v="0"/>
    <n v="25"/>
    <n v="66"/>
    <n v="91"/>
    <n v="45.5"/>
    <s v="D"/>
    <x v="1"/>
    <x v="4"/>
  </r>
  <r>
    <x v="94"/>
    <x v="63"/>
    <x v="1"/>
    <x v="3"/>
    <n v="26"/>
    <n v="68"/>
    <n v="94"/>
    <n v="47"/>
    <s v="D"/>
    <x v="1"/>
    <x v="4"/>
  </r>
  <r>
    <x v="95"/>
    <x v="12"/>
    <x v="0"/>
    <x v="3"/>
    <n v="94"/>
    <n v="48"/>
    <n v="142"/>
    <n v="71"/>
    <s v="C"/>
    <x v="0"/>
    <x v="2"/>
  </r>
  <r>
    <x v="96"/>
    <x v="64"/>
    <x v="1"/>
    <x v="3"/>
    <n v="73"/>
    <n v="73"/>
    <n v="146"/>
    <n v="73"/>
    <s v="C"/>
    <x v="0"/>
    <x v="2"/>
  </r>
  <r>
    <x v="97"/>
    <x v="65"/>
    <x v="1"/>
    <x v="2"/>
    <n v="12"/>
    <n v="91"/>
    <n v="103"/>
    <n v="51.5"/>
    <s v="D"/>
    <x v="1"/>
    <x v="4"/>
  </r>
  <r>
    <x v="98"/>
    <x v="5"/>
    <x v="0"/>
    <x v="4"/>
    <n v="65"/>
    <n v="90"/>
    <n v="155"/>
    <n v="77.5"/>
    <s v="B"/>
    <x v="0"/>
    <x v="0"/>
  </r>
  <r>
    <x v="99"/>
    <x v="38"/>
    <x v="1"/>
    <x v="1"/>
    <n v="69"/>
    <n v="46"/>
    <n v="115"/>
    <n v="57.5"/>
    <s v="C"/>
    <x v="0"/>
    <x v="2"/>
  </r>
  <r>
    <x v="14"/>
    <x v="11"/>
    <x v="0"/>
    <x v="1"/>
    <n v="58"/>
    <n v="58"/>
    <n v="116"/>
    <n v="58"/>
    <s v="C"/>
    <x v="0"/>
    <x v="2"/>
  </r>
  <r>
    <x v="9"/>
    <x v="6"/>
    <x v="1"/>
    <x v="0"/>
    <n v="57"/>
    <n v="73"/>
    <n v="130"/>
    <n v="65"/>
    <s v="C"/>
    <x v="0"/>
    <x v="2"/>
  </r>
  <r>
    <x v="100"/>
    <x v="8"/>
    <x v="0"/>
    <x v="0"/>
    <n v="49"/>
    <n v="94"/>
    <n v="143"/>
    <n v="71.5"/>
    <s v="C"/>
    <x v="0"/>
    <x v="2"/>
  </r>
  <r>
    <x v="101"/>
    <x v="66"/>
    <x v="1"/>
    <x v="3"/>
    <n v="52"/>
    <n v="36"/>
    <n v="88"/>
    <n v="44"/>
    <s v="D"/>
    <x v="1"/>
    <x v="4"/>
  </r>
  <r>
    <x v="97"/>
    <x v="67"/>
    <x v="1"/>
    <x v="0"/>
    <n v="35"/>
    <n v="69"/>
    <n v="104"/>
    <n v="52"/>
    <s v="D"/>
    <x v="1"/>
    <x v="4"/>
  </r>
  <r>
    <x v="102"/>
    <x v="68"/>
    <x v="1"/>
    <x v="0"/>
    <n v="71"/>
    <n v="96"/>
    <n v="167"/>
    <n v="83.5"/>
    <s v="B"/>
    <x v="0"/>
    <x v="0"/>
  </r>
  <r>
    <x v="87"/>
    <x v="10"/>
    <x v="0"/>
    <x v="3"/>
    <n v="45"/>
    <n v="85"/>
    <n v="130"/>
    <n v="65"/>
    <s v="C"/>
    <x v="0"/>
    <x v="2"/>
  </r>
  <r>
    <x v="93"/>
    <x v="69"/>
    <x v="0"/>
    <x v="2"/>
    <n v="55"/>
    <n v="84"/>
    <n v="139"/>
    <n v="69.5"/>
    <s v="C"/>
    <x v="0"/>
    <x v="2"/>
  </r>
  <r>
    <x v="103"/>
    <x v="70"/>
    <x v="0"/>
    <x v="1"/>
    <n v="90"/>
    <n v="65"/>
    <n v="155"/>
    <n v="77.5"/>
    <s v="B"/>
    <x v="0"/>
    <x v="0"/>
  </r>
  <r>
    <x v="104"/>
    <x v="3"/>
    <x v="0"/>
    <x v="0"/>
    <n v="96"/>
    <n v="47"/>
    <n v="143"/>
    <n v="71.5"/>
    <s v="C"/>
    <x v="0"/>
    <x v="2"/>
  </r>
  <r>
    <x v="105"/>
    <x v="71"/>
    <x v="0"/>
    <x v="3"/>
    <n v="98"/>
    <n v="75"/>
    <n v="173"/>
    <n v="86.5"/>
    <s v="B"/>
    <x v="0"/>
    <x v="0"/>
  </r>
  <r>
    <x v="106"/>
    <x v="72"/>
    <x v="1"/>
    <x v="1"/>
    <n v="57"/>
    <n v="88"/>
    <n v="145"/>
    <n v="72.5"/>
    <s v="C"/>
    <x v="0"/>
    <x v="2"/>
  </r>
  <r>
    <x v="107"/>
    <x v="14"/>
    <x v="1"/>
    <x v="1"/>
    <n v="35"/>
    <n v="87"/>
    <n v="122"/>
    <n v="61"/>
    <s v="C"/>
    <x v="1"/>
    <x v="2"/>
  </r>
  <r>
    <x v="108"/>
    <x v="9"/>
    <x v="1"/>
    <x v="2"/>
    <n v="32"/>
    <n v="45"/>
    <n v="77"/>
    <n v="38.5"/>
    <s v="E"/>
    <x v="1"/>
    <x v="3"/>
  </r>
  <r>
    <x v="109"/>
    <x v="12"/>
    <x v="0"/>
    <x v="0"/>
    <n v="41"/>
    <n v="44"/>
    <n v="85"/>
    <n v="42.5"/>
    <s v="D"/>
    <x v="0"/>
    <x v="4"/>
  </r>
  <r>
    <x v="110"/>
    <x v="39"/>
    <x v="0"/>
    <x v="0"/>
    <n v="69"/>
    <n v="44"/>
    <n v="113"/>
    <n v="56.5"/>
    <s v="C"/>
    <x v="0"/>
    <x v="2"/>
  </r>
  <r>
    <x v="111"/>
    <x v="73"/>
    <x v="0"/>
    <x v="0"/>
    <n v="38"/>
    <n v="42"/>
    <n v="80"/>
    <n v="40"/>
    <s v="E"/>
    <x v="1"/>
    <x v="3"/>
  </r>
  <r>
    <x v="112"/>
    <x v="74"/>
    <x v="0"/>
    <x v="4"/>
    <n v="65"/>
    <n v="40"/>
    <n v="105"/>
    <n v="52.5"/>
    <s v="D"/>
    <x v="1"/>
    <x v="4"/>
  </r>
  <r>
    <x v="99"/>
    <x v="68"/>
    <x v="1"/>
    <x v="4"/>
    <n v="40"/>
    <n v="51"/>
    <n v="91"/>
    <n v="45.5"/>
    <s v="D"/>
    <x v="1"/>
    <x v="4"/>
  </r>
  <r>
    <x v="113"/>
    <x v="12"/>
    <x v="0"/>
    <x v="0"/>
    <n v="44"/>
    <n v="50"/>
    <n v="94"/>
    <n v="47"/>
    <s v="D"/>
    <x v="0"/>
    <x v="4"/>
  </r>
  <r>
    <x v="114"/>
    <x v="44"/>
    <x v="1"/>
    <x v="3"/>
    <n v="70"/>
    <n v="56"/>
    <n v="126"/>
    <n v="63"/>
    <s v="C"/>
    <x v="0"/>
    <x v="2"/>
  </r>
  <r>
    <x v="115"/>
    <x v="0"/>
    <x v="0"/>
    <x v="2"/>
    <n v="45"/>
    <n v="86"/>
    <n v="131"/>
    <n v="65.5"/>
    <s v="C"/>
    <x v="0"/>
    <x v="2"/>
  </r>
  <r>
    <x v="116"/>
    <x v="36"/>
    <x v="1"/>
    <x v="4"/>
    <n v="48"/>
    <n v="75"/>
    <n v="123"/>
    <n v="61.5"/>
    <s v="C"/>
    <x v="0"/>
    <x v="2"/>
  </r>
  <r>
    <x v="117"/>
    <x v="75"/>
    <x v="0"/>
    <x v="1"/>
    <n v="26"/>
    <n v="77"/>
    <n v="103"/>
    <n v="51.5"/>
    <s v="D"/>
    <x v="1"/>
    <x v="4"/>
  </r>
  <r>
    <x v="118"/>
    <x v="76"/>
    <x v="0"/>
    <x v="2"/>
    <n v="29"/>
    <n v="26"/>
    <n v="55"/>
    <n v="27.5"/>
    <s v="E"/>
    <x v="1"/>
    <x v="3"/>
  </r>
  <r>
    <x v="116"/>
    <x v="8"/>
    <x v="1"/>
    <x v="3"/>
    <n v="22"/>
    <n v="24"/>
    <n v="46"/>
    <n v="23"/>
    <s v="E"/>
    <x v="1"/>
    <x v="3"/>
  </r>
  <r>
    <x v="119"/>
    <x v="77"/>
    <x v="1"/>
    <x v="4"/>
    <n v="25"/>
    <n v="59"/>
    <n v="84"/>
    <n v="42"/>
    <s v="D"/>
    <x v="1"/>
    <x v="4"/>
  </r>
  <r>
    <x v="120"/>
    <x v="78"/>
    <x v="1"/>
    <x v="2"/>
    <n v="58"/>
    <n v="91"/>
    <n v="149"/>
    <n v="74.5"/>
    <s v="C"/>
    <x v="0"/>
    <x v="2"/>
  </r>
  <r>
    <x v="121"/>
    <x v="79"/>
    <x v="1"/>
    <x v="0"/>
    <n v="59"/>
    <n v="95"/>
    <n v="154"/>
    <n v="77"/>
    <s v="B"/>
    <x v="0"/>
    <x v="0"/>
  </r>
  <r>
    <x v="122"/>
    <x v="80"/>
    <x v="1"/>
    <x v="1"/>
    <n v="68"/>
    <n v="75"/>
    <n v="143"/>
    <n v="71.5"/>
    <s v="C"/>
    <x v="0"/>
    <x v="2"/>
  </r>
  <r>
    <x v="123"/>
    <x v="81"/>
    <x v="0"/>
    <x v="4"/>
    <n v="39"/>
    <n v="77"/>
    <n v="116"/>
    <n v="58"/>
    <s v="C"/>
    <x v="1"/>
    <x v="2"/>
  </r>
  <r>
    <x v="124"/>
    <x v="82"/>
    <x v="1"/>
    <x v="4"/>
    <n v="44"/>
    <n v="68"/>
    <n v="112"/>
    <n v="56"/>
    <s v="C"/>
    <x v="0"/>
    <x v="2"/>
  </r>
  <r>
    <x v="125"/>
    <x v="83"/>
    <x v="1"/>
    <x v="0"/>
    <n v="89"/>
    <n v="67"/>
    <n v="156"/>
    <n v="78"/>
    <s v="B"/>
    <x v="0"/>
    <x v="0"/>
  </r>
  <r>
    <x v="126"/>
    <x v="84"/>
    <x v="1"/>
    <x v="1"/>
    <n v="97"/>
    <n v="62"/>
    <n v="159"/>
    <n v="79.5"/>
    <s v="B"/>
    <x v="0"/>
    <x v="0"/>
  </r>
  <r>
    <x v="127"/>
    <x v="39"/>
    <x v="0"/>
    <x v="2"/>
    <n v="75"/>
    <n v="66"/>
    <n v="141"/>
    <n v="70.5"/>
    <s v="C"/>
    <x v="0"/>
    <x v="2"/>
  </r>
  <r>
    <x v="128"/>
    <x v="46"/>
    <x v="1"/>
    <x v="3"/>
    <n v="68"/>
    <n v="66"/>
    <n v="134"/>
    <n v="67"/>
    <s v="C"/>
    <x v="0"/>
    <x v="2"/>
  </r>
  <r>
    <x v="129"/>
    <x v="85"/>
    <x v="1"/>
    <x v="3"/>
    <n v="63"/>
    <n v="60"/>
    <n v="123"/>
    <n v="61.5"/>
    <s v="C"/>
    <x v="0"/>
    <x v="2"/>
  </r>
  <r>
    <x v="126"/>
    <x v="86"/>
    <x v="0"/>
    <x v="0"/>
    <n v="60"/>
    <n v="26"/>
    <n v="86"/>
    <n v="43"/>
    <s v="D"/>
    <x v="1"/>
    <x v="4"/>
  </r>
  <r>
    <x v="130"/>
    <x v="53"/>
    <x v="0"/>
    <x v="0"/>
    <n v="60"/>
    <n v="50"/>
    <n v="110"/>
    <n v="55"/>
    <s v="D"/>
    <x v="0"/>
    <x v="4"/>
  </r>
  <r>
    <x v="131"/>
    <x v="87"/>
    <x v="0"/>
    <x v="0"/>
    <n v="66"/>
    <n v="58"/>
    <n v="124"/>
    <n v="62"/>
    <s v="C"/>
    <x v="0"/>
    <x v="2"/>
  </r>
  <r>
    <x v="132"/>
    <x v="88"/>
    <x v="0"/>
    <x v="1"/>
    <n v="51"/>
    <n v="74"/>
    <n v="125"/>
    <n v="62.5"/>
    <s v="C"/>
    <x v="0"/>
    <x v="2"/>
  </r>
  <r>
    <x v="133"/>
    <x v="89"/>
    <x v="0"/>
    <x v="2"/>
    <n v="55"/>
    <n v="91"/>
    <n v="146"/>
    <n v="73"/>
    <s v="C"/>
    <x v="0"/>
    <x v="2"/>
  </r>
  <r>
    <x v="134"/>
    <x v="90"/>
    <x v="1"/>
    <x v="4"/>
    <n v="84"/>
    <n v="25"/>
    <n v="109"/>
    <n v="54.5"/>
    <s v="D"/>
    <x v="1"/>
    <x v="4"/>
  </r>
  <r>
    <x v="135"/>
    <x v="91"/>
    <x v="1"/>
    <x v="0"/>
    <n v="90"/>
    <n v="66"/>
    <n v="156"/>
    <n v="78"/>
    <s v="B"/>
    <x v="0"/>
    <x v="0"/>
  </r>
  <r>
    <x v="136"/>
    <x v="92"/>
    <x v="1"/>
    <x v="2"/>
    <n v="55"/>
    <n v="94"/>
    <n v="149"/>
    <n v="74.5"/>
    <s v="C"/>
    <x v="0"/>
    <x v="2"/>
  </r>
  <r>
    <x v="137"/>
    <x v="93"/>
    <x v="1"/>
    <x v="0"/>
    <n v="94"/>
    <n v="78"/>
    <n v="172"/>
    <n v="86"/>
    <s v="B"/>
    <x v="0"/>
    <x v="0"/>
  </r>
  <r>
    <x v="138"/>
    <x v="94"/>
    <x v="2"/>
    <x v="5"/>
    <m/>
    <m/>
    <m/>
    <m/>
    <m/>
    <x v="2"/>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0BF619-1898-4F8B-9096-F2AD9BF8DFE2}"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E151" firstHeaderRow="1" firstDataRow="2" firstDataCol="1"/>
  <pivotFields count="11">
    <pivotField axis="axisRow" showAll="0">
      <items count="12">
        <item x="0"/>
        <item x="1"/>
        <item x="2"/>
        <item x="3"/>
        <item x="4"/>
        <item x="5"/>
        <item x="6"/>
        <item x="7"/>
        <item x="8"/>
        <item x="9"/>
        <item x="10"/>
        <item t="default"/>
      </items>
    </pivotField>
    <pivotField axis="axisRow" showAll="0">
      <items count="96">
        <item x="54"/>
        <item x="18"/>
        <item x="72"/>
        <item x="29"/>
        <item x="58"/>
        <item x="4"/>
        <item x="64"/>
        <item x="15"/>
        <item x="7"/>
        <item x="65"/>
        <item x="82"/>
        <item x="53"/>
        <item x="83"/>
        <item x="19"/>
        <item x="36"/>
        <item x="6"/>
        <item x="75"/>
        <item x="85"/>
        <item x="20"/>
        <item x="86"/>
        <item x="80"/>
        <item x="38"/>
        <item x="90"/>
        <item x="89"/>
        <item x="33"/>
        <item x="92"/>
        <item x="76"/>
        <item x="21"/>
        <item x="22"/>
        <item x="14"/>
        <item x="10"/>
        <item x="23"/>
        <item x="0"/>
        <item x="59"/>
        <item x="43"/>
        <item x="55"/>
        <item x="84"/>
        <item x="30"/>
        <item x="88"/>
        <item x="91"/>
        <item x="28"/>
        <item x="60"/>
        <item x="31"/>
        <item x="26"/>
        <item x="9"/>
        <item x="44"/>
        <item x="50"/>
        <item x="67"/>
        <item x="37"/>
        <item x="56"/>
        <item x="68"/>
        <item x="12"/>
        <item x="51"/>
        <item x="77"/>
        <item x="16"/>
        <item x="61"/>
        <item x="87"/>
        <item x="57"/>
        <item x="63"/>
        <item x="5"/>
        <item x="71"/>
        <item x="3"/>
        <item x="93"/>
        <item x="35"/>
        <item x="49"/>
        <item x="25"/>
        <item x="32"/>
        <item x="69"/>
        <item x="34"/>
        <item x="42"/>
        <item x="24"/>
        <item x="62"/>
        <item x="47"/>
        <item x="66"/>
        <item x="39"/>
        <item x="40"/>
        <item x="46"/>
        <item x="45"/>
        <item x="70"/>
        <item x="13"/>
        <item x="41"/>
        <item x="2"/>
        <item x="17"/>
        <item x="48"/>
        <item x="1"/>
        <item x="79"/>
        <item x="78"/>
        <item x="74"/>
        <item x="52"/>
        <item x="73"/>
        <item x="8"/>
        <item x="81"/>
        <item x="11"/>
        <item x="27"/>
        <item x="94"/>
        <item t="default"/>
      </items>
    </pivotField>
    <pivotField axis="axisCol" showAll="0">
      <items count="4">
        <item x="0"/>
        <item x="1"/>
        <item x="2"/>
        <item t="default"/>
      </items>
    </pivotField>
    <pivotField showAll="0"/>
    <pivotField showAll="0"/>
    <pivotField showAll="0"/>
    <pivotField dataField="1" showAll="0"/>
    <pivotField showAll="0"/>
    <pivotField showAll="0"/>
    <pivotField showAll="0">
      <items count="4">
        <item x="1"/>
        <item x="0"/>
        <item x="2"/>
        <item t="default"/>
      </items>
    </pivotField>
    <pivotField showAll="0">
      <items count="7">
        <item x="1"/>
        <item x="0"/>
        <item x="2"/>
        <item x="4"/>
        <item x="3"/>
        <item x="5"/>
        <item t="default"/>
      </items>
    </pivotField>
  </pivotFields>
  <rowFields count="2">
    <field x="0"/>
    <field x="1"/>
  </rowFields>
  <rowItems count="147">
    <i>
      <x/>
    </i>
    <i r="1">
      <x v="94"/>
    </i>
    <i>
      <x v="1"/>
    </i>
    <i r="1">
      <x/>
    </i>
    <i r="1">
      <x v="3"/>
    </i>
    <i r="1">
      <x v="4"/>
    </i>
    <i r="1">
      <x v="5"/>
    </i>
    <i r="1">
      <x v="8"/>
    </i>
    <i r="1">
      <x v="13"/>
    </i>
    <i r="1">
      <x v="14"/>
    </i>
    <i r="1">
      <x v="15"/>
    </i>
    <i r="1">
      <x v="18"/>
    </i>
    <i r="1">
      <x v="29"/>
    </i>
    <i r="1">
      <x v="31"/>
    </i>
    <i r="1">
      <x v="32"/>
    </i>
    <i r="1">
      <x v="33"/>
    </i>
    <i r="1">
      <x v="35"/>
    </i>
    <i r="1">
      <x v="37"/>
    </i>
    <i r="1">
      <x v="40"/>
    </i>
    <i r="1">
      <x v="43"/>
    </i>
    <i r="1">
      <x v="44"/>
    </i>
    <i r="1">
      <x v="45"/>
    </i>
    <i r="1">
      <x v="46"/>
    </i>
    <i r="1">
      <x v="48"/>
    </i>
    <i r="1">
      <x v="51"/>
    </i>
    <i r="1">
      <x v="54"/>
    </i>
    <i r="1">
      <x v="59"/>
    </i>
    <i r="1">
      <x v="61"/>
    </i>
    <i r="1">
      <x v="63"/>
    </i>
    <i r="1">
      <x v="68"/>
    </i>
    <i r="1">
      <x v="70"/>
    </i>
    <i r="1">
      <x v="74"/>
    </i>
    <i r="1">
      <x v="79"/>
    </i>
    <i r="1">
      <x v="81"/>
    </i>
    <i r="1">
      <x v="82"/>
    </i>
    <i r="1">
      <x v="84"/>
    </i>
    <i r="1">
      <x v="90"/>
    </i>
    <i r="1">
      <x v="92"/>
    </i>
    <i r="1">
      <x v="93"/>
    </i>
    <i>
      <x v="2"/>
    </i>
    <i r="1">
      <x v="1"/>
    </i>
    <i r="1">
      <x v="7"/>
    </i>
    <i r="1">
      <x v="11"/>
    </i>
    <i r="1">
      <x v="15"/>
    </i>
    <i r="1">
      <x v="21"/>
    </i>
    <i r="1">
      <x v="27"/>
    </i>
    <i r="1">
      <x v="28"/>
    </i>
    <i r="1">
      <x v="29"/>
    </i>
    <i r="1">
      <x v="30"/>
    </i>
    <i r="1">
      <x v="31"/>
    </i>
    <i r="1">
      <x v="32"/>
    </i>
    <i r="1">
      <x v="42"/>
    </i>
    <i r="1">
      <x v="49"/>
    </i>
    <i r="1">
      <x v="54"/>
    </i>
    <i r="1">
      <x v="57"/>
    </i>
    <i r="1">
      <x v="61"/>
    </i>
    <i r="1">
      <x v="64"/>
    </i>
    <i r="1">
      <x v="65"/>
    </i>
    <i r="1">
      <x v="69"/>
    </i>
    <i r="1">
      <x v="70"/>
    </i>
    <i r="1">
      <x v="74"/>
    </i>
    <i r="1">
      <x v="77"/>
    </i>
    <i r="1">
      <x v="80"/>
    </i>
    <i r="1">
      <x v="83"/>
    </i>
    <i>
      <x v="3"/>
    </i>
    <i r="1">
      <x v="8"/>
    </i>
    <i r="1">
      <x v="14"/>
    </i>
    <i r="1">
      <x v="15"/>
    </i>
    <i r="1">
      <x v="24"/>
    </i>
    <i r="1">
      <x v="29"/>
    </i>
    <i r="1">
      <x v="30"/>
    </i>
    <i r="1">
      <x v="34"/>
    </i>
    <i r="1">
      <x v="37"/>
    </i>
    <i r="1">
      <x v="46"/>
    </i>
    <i r="1">
      <x v="52"/>
    </i>
    <i r="1">
      <x v="66"/>
    </i>
    <i r="1">
      <x v="72"/>
    </i>
    <i r="1">
      <x v="76"/>
    </i>
    <i r="1">
      <x v="82"/>
    </i>
    <i r="1">
      <x v="88"/>
    </i>
    <i>
      <x v="4"/>
    </i>
    <i r="1">
      <x v="1"/>
    </i>
    <i r="1">
      <x v="2"/>
    </i>
    <i r="1">
      <x v="6"/>
    </i>
    <i r="1">
      <x v="8"/>
    </i>
    <i r="1">
      <x v="9"/>
    </i>
    <i r="1">
      <x v="21"/>
    </i>
    <i r="1">
      <x v="30"/>
    </i>
    <i r="1">
      <x v="32"/>
    </i>
    <i r="1">
      <x v="43"/>
    </i>
    <i r="1">
      <x v="47"/>
    </i>
    <i r="1">
      <x v="50"/>
    </i>
    <i r="1">
      <x v="51"/>
    </i>
    <i r="1">
      <x v="55"/>
    </i>
    <i r="1">
      <x v="58"/>
    </i>
    <i r="1">
      <x v="59"/>
    </i>
    <i r="1">
      <x v="60"/>
    </i>
    <i r="1">
      <x v="61"/>
    </i>
    <i r="1">
      <x v="67"/>
    </i>
    <i r="1">
      <x v="71"/>
    </i>
    <i r="1">
      <x v="74"/>
    </i>
    <i r="1">
      <x v="75"/>
    </i>
    <i r="1">
      <x v="78"/>
    </i>
    <i r="1">
      <x v="79"/>
    </i>
    <i r="1">
      <x v="84"/>
    </i>
    <i r="1">
      <x v="90"/>
    </i>
    <i r="1">
      <x v="92"/>
    </i>
    <i>
      <x v="5"/>
    </i>
    <i r="1">
      <x v="16"/>
    </i>
    <i r="1">
      <x v="29"/>
    </i>
    <i r="1">
      <x v="32"/>
    </i>
    <i r="1">
      <x v="41"/>
    </i>
    <i r="1">
      <x v="44"/>
    </i>
    <i r="1">
      <x v="73"/>
    </i>
    <i r="1">
      <x v="74"/>
    </i>
    <i>
      <x v="6"/>
    </i>
    <i r="1">
      <x v="14"/>
    </i>
    <i r="1">
      <x v="26"/>
    </i>
    <i r="1">
      <x v="45"/>
    </i>
    <i r="1">
      <x v="51"/>
    </i>
    <i r="1">
      <x v="87"/>
    </i>
    <i r="1">
      <x v="90"/>
    </i>
    <i>
      <x v="7"/>
    </i>
    <i r="1">
      <x v="10"/>
    </i>
    <i r="1">
      <x v="11"/>
    </i>
    <i r="1">
      <x v="12"/>
    </i>
    <i r="1">
      <x v="19"/>
    </i>
    <i r="1">
      <x v="20"/>
    </i>
    <i r="1">
      <x v="36"/>
    </i>
    <i r="1">
      <x v="53"/>
    </i>
    <i r="1">
      <x v="74"/>
    </i>
    <i r="1">
      <x v="76"/>
    </i>
    <i r="1">
      <x v="85"/>
    </i>
    <i r="1">
      <x v="86"/>
    </i>
    <i r="1">
      <x v="89"/>
    </i>
    <i r="1">
      <x v="91"/>
    </i>
    <i>
      <x v="8"/>
    </i>
    <i r="1">
      <x v="17"/>
    </i>
    <i r="1">
      <x v="22"/>
    </i>
    <i r="1">
      <x v="23"/>
    </i>
    <i r="1">
      <x v="38"/>
    </i>
    <i r="1">
      <x v="39"/>
    </i>
    <i r="1">
      <x v="56"/>
    </i>
    <i r="1">
      <x v="62"/>
    </i>
    <i>
      <x v="9"/>
    </i>
    <i r="1">
      <x v="25"/>
    </i>
    <i t="grand">
      <x/>
    </i>
  </rowItems>
  <colFields count="1">
    <field x="2"/>
  </colFields>
  <colItems count="4">
    <i>
      <x/>
    </i>
    <i>
      <x v="1"/>
    </i>
    <i>
      <x v="2"/>
    </i>
    <i t="grand">
      <x/>
    </i>
  </colItems>
  <dataFields count="1">
    <dataField name="Sum of TOTAL" fld="6"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2">
          <reference field="4294967294" count="1" selected="0">
            <x v="0"/>
          </reference>
          <reference field="2" count="1" selected="0">
            <x v="2"/>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C9DCAF-1019-4514-8115-00BC6FD37E65}"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G20" firstHeaderRow="1" firstDataRow="2" firstDataCol="1"/>
  <pivotFields count="11">
    <pivotField showAll="0"/>
    <pivotField showAll="0"/>
    <pivotField axis="axisRow" showAll="0">
      <items count="4">
        <item x="0"/>
        <item x="1"/>
        <item x="2"/>
        <item t="default"/>
      </items>
    </pivotField>
    <pivotField axis="axisCol" showAll="0">
      <items count="7">
        <item x="3"/>
        <item x="4"/>
        <item x="0"/>
        <item x="1"/>
        <item x="2"/>
        <item h="1" x="5"/>
        <item t="default"/>
      </items>
    </pivotField>
    <pivotField showAll="0"/>
    <pivotField showAll="0"/>
    <pivotField dataField="1" showAll="0"/>
    <pivotField showAll="0"/>
    <pivotField showAll="0"/>
    <pivotField showAll="0">
      <items count="4">
        <item x="1"/>
        <item x="0"/>
        <item x="2"/>
        <item t="default"/>
      </items>
    </pivotField>
    <pivotField axis="axisRow" showAll="0">
      <items count="7">
        <item x="1"/>
        <item x="0"/>
        <item x="2"/>
        <item x="4"/>
        <item x="3"/>
        <item x="5"/>
        <item t="default"/>
      </items>
    </pivotField>
  </pivotFields>
  <rowFields count="2">
    <field x="10"/>
    <field x="2"/>
  </rowFields>
  <rowItems count="16">
    <i>
      <x/>
    </i>
    <i r="1">
      <x/>
    </i>
    <i r="1">
      <x v="1"/>
    </i>
    <i>
      <x v="1"/>
    </i>
    <i r="1">
      <x/>
    </i>
    <i r="1">
      <x v="1"/>
    </i>
    <i>
      <x v="2"/>
    </i>
    <i r="1">
      <x/>
    </i>
    <i r="1">
      <x v="1"/>
    </i>
    <i>
      <x v="3"/>
    </i>
    <i r="1">
      <x/>
    </i>
    <i r="1">
      <x v="1"/>
    </i>
    <i>
      <x v="4"/>
    </i>
    <i r="1">
      <x/>
    </i>
    <i r="1">
      <x v="1"/>
    </i>
    <i t="grand">
      <x/>
    </i>
  </rowItems>
  <colFields count="1">
    <field x="3"/>
  </colFields>
  <colItems count="6">
    <i>
      <x/>
    </i>
    <i>
      <x v="1"/>
    </i>
    <i>
      <x v="2"/>
    </i>
    <i>
      <x v="3"/>
    </i>
    <i>
      <x v="4"/>
    </i>
    <i t="grand">
      <x/>
    </i>
  </colItems>
  <dataFields count="1">
    <dataField name="Sum of TOTAL" fld="6" baseField="0" baseItem="0"/>
  </dataFields>
  <chartFormats count="30">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2"/>
          </reference>
        </references>
      </pivotArea>
    </chartFormat>
    <chartFormat chart="2" format="3" series="1">
      <pivotArea type="data" outline="0" fieldPosition="0">
        <references count="2">
          <reference field="4294967294" count="1" selected="0">
            <x v="0"/>
          </reference>
          <reference field="3" count="1" selected="0">
            <x v="3"/>
          </reference>
        </references>
      </pivotArea>
    </chartFormat>
    <chartFormat chart="2" format="4" series="1">
      <pivotArea type="data" outline="0" fieldPosition="0">
        <references count="2">
          <reference field="4294967294" count="1" selected="0">
            <x v="0"/>
          </reference>
          <reference field="3" count="1" selected="0">
            <x v="4"/>
          </reference>
        </references>
      </pivotArea>
    </chartFormat>
    <chartFormat chart="5" format="10" series="1">
      <pivotArea type="data" outline="0" fieldPosition="0">
        <references count="2">
          <reference field="4294967294" count="1" selected="0">
            <x v="0"/>
          </reference>
          <reference field="3" count="1" selected="0">
            <x v="0"/>
          </reference>
        </references>
      </pivotArea>
    </chartFormat>
    <chartFormat chart="5" format="11" series="1">
      <pivotArea type="data" outline="0" fieldPosition="0">
        <references count="2">
          <reference field="4294967294" count="1" selected="0">
            <x v="0"/>
          </reference>
          <reference field="3" count="1" selected="0">
            <x v="1"/>
          </reference>
        </references>
      </pivotArea>
    </chartFormat>
    <chartFormat chart="5" format="12" series="1">
      <pivotArea type="data" outline="0" fieldPosition="0">
        <references count="2">
          <reference field="4294967294" count="1" selected="0">
            <x v="0"/>
          </reference>
          <reference field="3" count="1" selected="0">
            <x v="2"/>
          </reference>
        </references>
      </pivotArea>
    </chartFormat>
    <chartFormat chart="5" format="13" series="1">
      <pivotArea type="data" outline="0" fieldPosition="0">
        <references count="2">
          <reference field="4294967294" count="1" selected="0">
            <x v="0"/>
          </reference>
          <reference field="3" count="1" selected="0">
            <x v="3"/>
          </reference>
        </references>
      </pivotArea>
    </chartFormat>
    <chartFormat chart="5" format="14" series="1">
      <pivotArea type="data" outline="0" fieldPosition="0">
        <references count="2">
          <reference field="4294967294" count="1" selected="0">
            <x v="0"/>
          </reference>
          <reference field="3" count="1" selected="0">
            <x v="4"/>
          </reference>
        </references>
      </pivotArea>
    </chartFormat>
    <chartFormat chart="6" format="0" series="1">
      <pivotArea type="data" outline="0" fieldPosition="0">
        <references count="2">
          <reference field="4294967294" count="1" selected="0">
            <x v="0"/>
          </reference>
          <reference field="3" count="1" selected="0">
            <x v="0"/>
          </reference>
        </references>
      </pivotArea>
    </chartFormat>
    <chartFormat chart="6" format="1" series="1">
      <pivotArea type="data" outline="0" fieldPosition="0">
        <references count="2">
          <reference field="4294967294" count="1" selected="0">
            <x v="0"/>
          </reference>
          <reference field="3" count="1" selected="0">
            <x v="1"/>
          </reference>
        </references>
      </pivotArea>
    </chartFormat>
    <chartFormat chart="6" format="2" series="1">
      <pivotArea type="data" outline="0" fieldPosition="0">
        <references count="2">
          <reference field="4294967294" count="1" selected="0">
            <x v="0"/>
          </reference>
          <reference field="3" count="1" selected="0">
            <x v="2"/>
          </reference>
        </references>
      </pivotArea>
    </chartFormat>
    <chartFormat chart="6" format="3" series="1">
      <pivotArea type="data" outline="0" fieldPosition="0">
        <references count="2">
          <reference field="4294967294" count="1" selected="0">
            <x v="0"/>
          </reference>
          <reference field="3" count="1" selected="0">
            <x v="3"/>
          </reference>
        </references>
      </pivotArea>
    </chartFormat>
    <chartFormat chart="6" format="4" series="1">
      <pivotArea type="data" outline="0" fieldPosition="0">
        <references count="2">
          <reference field="4294967294" count="1" selected="0">
            <x v="0"/>
          </reference>
          <reference field="3" count="1" selected="0">
            <x v="4"/>
          </reference>
        </references>
      </pivotArea>
    </chartFormat>
    <chartFormat chart="7" format="5" series="1">
      <pivotArea type="data" outline="0" fieldPosition="0">
        <references count="2">
          <reference field="4294967294" count="1" selected="0">
            <x v="0"/>
          </reference>
          <reference field="3" count="1" selected="0">
            <x v="0"/>
          </reference>
        </references>
      </pivotArea>
    </chartFormat>
    <chartFormat chart="7" format="6" series="1">
      <pivotArea type="data" outline="0" fieldPosition="0">
        <references count="2">
          <reference field="4294967294" count="1" selected="0">
            <x v="0"/>
          </reference>
          <reference field="3" count="1" selected="0">
            <x v="1"/>
          </reference>
        </references>
      </pivotArea>
    </chartFormat>
    <chartFormat chart="7" format="7" series="1">
      <pivotArea type="data" outline="0" fieldPosition="0">
        <references count="2">
          <reference field="4294967294" count="1" selected="0">
            <x v="0"/>
          </reference>
          <reference field="3" count="1" selected="0">
            <x v="2"/>
          </reference>
        </references>
      </pivotArea>
    </chartFormat>
    <chartFormat chart="7" format="8" series="1">
      <pivotArea type="data" outline="0" fieldPosition="0">
        <references count="2">
          <reference field="4294967294" count="1" selected="0">
            <x v="0"/>
          </reference>
          <reference field="3" count="1" selected="0">
            <x v="3"/>
          </reference>
        </references>
      </pivotArea>
    </chartFormat>
    <chartFormat chart="7" format="9" series="1">
      <pivotArea type="data" outline="0" fieldPosition="0">
        <references count="2">
          <reference field="4294967294" count="1" selected="0">
            <x v="0"/>
          </reference>
          <reference field="3" count="1" selected="0">
            <x v="4"/>
          </reference>
        </references>
      </pivotArea>
    </chartFormat>
    <chartFormat chart="8" format="10" series="1">
      <pivotArea type="data" outline="0" fieldPosition="0">
        <references count="2">
          <reference field="4294967294" count="1" selected="0">
            <x v="0"/>
          </reference>
          <reference field="3" count="1" selected="0">
            <x v="0"/>
          </reference>
        </references>
      </pivotArea>
    </chartFormat>
    <chartFormat chart="8" format="11" series="1">
      <pivotArea type="data" outline="0" fieldPosition="0">
        <references count="2">
          <reference field="4294967294" count="1" selected="0">
            <x v="0"/>
          </reference>
          <reference field="3" count="1" selected="0">
            <x v="1"/>
          </reference>
        </references>
      </pivotArea>
    </chartFormat>
    <chartFormat chart="8" format="12" series="1">
      <pivotArea type="data" outline="0" fieldPosition="0">
        <references count="2">
          <reference field="4294967294" count="1" selected="0">
            <x v="0"/>
          </reference>
          <reference field="3" count="1" selected="0">
            <x v="2"/>
          </reference>
        </references>
      </pivotArea>
    </chartFormat>
    <chartFormat chart="8" format="13" series="1">
      <pivotArea type="data" outline="0" fieldPosition="0">
        <references count="2">
          <reference field="4294967294" count="1" selected="0">
            <x v="0"/>
          </reference>
          <reference field="3" count="1" selected="0">
            <x v="3"/>
          </reference>
        </references>
      </pivotArea>
    </chartFormat>
    <chartFormat chart="8" format="14" series="1">
      <pivotArea type="data" outline="0" fieldPosition="0">
        <references count="2">
          <reference field="4294967294" count="1" selected="0">
            <x v="0"/>
          </reference>
          <reference field="3" count="1" selected="0">
            <x v="4"/>
          </reference>
        </references>
      </pivotArea>
    </chartFormat>
    <chartFormat chart="9" format="10" series="1">
      <pivotArea type="data" outline="0" fieldPosition="0">
        <references count="2">
          <reference field="4294967294" count="1" selected="0">
            <x v="0"/>
          </reference>
          <reference field="3" count="1" selected="0">
            <x v="0"/>
          </reference>
        </references>
      </pivotArea>
    </chartFormat>
    <chartFormat chart="9" format="11" series="1">
      <pivotArea type="data" outline="0" fieldPosition="0">
        <references count="2">
          <reference field="4294967294" count="1" selected="0">
            <x v="0"/>
          </reference>
          <reference field="3" count="1" selected="0">
            <x v="1"/>
          </reference>
        </references>
      </pivotArea>
    </chartFormat>
    <chartFormat chart="9" format="12" series="1">
      <pivotArea type="data" outline="0" fieldPosition="0">
        <references count="2">
          <reference field="4294967294" count="1" selected="0">
            <x v="0"/>
          </reference>
          <reference field="3" count="1" selected="0">
            <x v="2"/>
          </reference>
        </references>
      </pivotArea>
    </chartFormat>
    <chartFormat chart="9" format="13" series="1">
      <pivotArea type="data" outline="0" fieldPosition="0">
        <references count="2">
          <reference field="4294967294" count="1" selected="0">
            <x v="0"/>
          </reference>
          <reference field="3" count="1" selected="0">
            <x v="3"/>
          </reference>
        </references>
      </pivotArea>
    </chartFormat>
    <chartFormat chart="9"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B127A0-27BE-47B3-9A0B-C30A82E04F8D}"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7">
  <location ref="A3:H13" firstHeaderRow="1" firstDataRow="2" firstDataCol="1"/>
  <pivotFields count="11">
    <pivotField showAll="0"/>
    <pivotField showAll="0"/>
    <pivotField axis="axisRow" showAll="0">
      <items count="4">
        <item x="0"/>
        <item x="1"/>
        <item x="2"/>
        <item t="default"/>
      </items>
    </pivotField>
    <pivotField showAll="0"/>
    <pivotField showAll="0"/>
    <pivotField showAll="0"/>
    <pivotField showAll="0"/>
    <pivotField showAll="0"/>
    <pivotField showAll="0"/>
    <pivotField axis="axisRow" dataField="1" showAll="0">
      <items count="4">
        <item x="1"/>
        <item x="0"/>
        <item x="2"/>
        <item t="default"/>
      </items>
    </pivotField>
    <pivotField axis="axisCol" showAll="0">
      <items count="7">
        <item x="1"/>
        <item x="0"/>
        <item x="2"/>
        <item x="4"/>
        <item x="3"/>
        <item x="5"/>
        <item t="default"/>
      </items>
    </pivotField>
  </pivotFields>
  <rowFields count="2">
    <field x="2"/>
    <field x="9"/>
  </rowFields>
  <rowItems count="9">
    <i>
      <x/>
    </i>
    <i r="1">
      <x/>
    </i>
    <i r="1">
      <x v="1"/>
    </i>
    <i>
      <x v="1"/>
    </i>
    <i r="1">
      <x/>
    </i>
    <i r="1">
      <x v="1"/>
    </i>
    <i>
      <x v="2"/>
    </i>
    <i r="1">
      <x v="2"/>
    </i>
    <i t="grand">
      <x/>
    </i>
  </rowItems>
  <colFields count="1">
    <field x="10"/>
  </colFields>
  <colItems count="7">
    <i>
      <x/>
    </i>
    <i>
      <x v="1"/>
    </i>
    <i>
      <x v="2"/>
    </i>
    <i>
      <x v="3"/>
    </i>
    <i>
      <x v="4"/>
    </i>
    <i>
      <x v="5"/>
    </i>
    <i t="grand">
      <x/>
    </i>
  </colItems>
  <dataFields count="1">
    <dataField name="Count of STATUS" fld="9" subtotal="count" baseField="0" baseItem="0"/>
  </dataFields>
  <chartFormats count="12">
    <chartFormat chart="23" format="0" series="1">
      <pivotArea type="data" outline="0" fieldPosition="0">
        <references count="2">
          <reference field="4294967294" count="1" selected="0">
            <x v="0"/>
          </reference>
          <reference field="10" count="1" selected="0">
            <x v="0"/>
          </reference>
        </references>
      </pivotArea>
    </chartFormat>
    <chartFormat chart="23" format="1" series="1">
      <pivotArea type="data" outline="0" fieldPosition="0">
        <references count="2">
          <reference field="4294967294" count="1" selected="0">
            <x v="0"/>
          </reference>
          <reference field="10" count="1" selected="0">
            <x v="1"/>
          </reference>
        </references>
      </pivotArea>
    </chartFormat>
    <chartFormat chart="23" format="2" series="1">
      <pivotArea type="data" outline="0" fieldPosition="0">
        <references count="2">
          <reference field="4294967294" count="1" selected="0">
            <x v="0"/>
          </reference>
          <reference field="10" count="1" selected="0">
            <x v="2"/>
          </reference>
        </references>
      </pivotArea>
    </chartFormat>
    <chartFormat chart="23" format="3" series="1">
      <pivotArea type="data" outline="0" fieldPosition="0">
        <references count="2">
          <reference field="4294967294" count="1" selected="0">
            <x v="0"/>
          </reference>
          <reference field="10" count="1" selected="0">
            <x v="3"/>
          </reference>
        </references>
      </pivotArea>
    </chartFormat>
    <chartFormat chart="23" format="4" series="1">
      <pivotArea type="data" outline="0" fieldPosition="0">
        <references count="2">
          <reference field="4294967294" count="1" selected="0">
            <x v="0"/>
          </reference>
          <reference field="10" count="1" selected="0">
            <x v="4"/>
          </reference>
        </references>
      </pivotArea>
    </chartFormat>
    <chartFormat chart="26" format="10" series="1">
      <pivotArea type="data" outline="0" fieldPosition="0">
        <references count="2">
          <reference field="4294967294" count="1" selected="0">
            <x v="0"/>
          </reference>
          <reference field="10" count="1" selected="0">
            <x v="0"/>
          </reference>
        </references>
      </pivotArea>
    </chartFormat>
    <chartFormat chart="26" format="11" series="1">
      <pivotArea type="data" outline="0" fieldPosition="0">
        <references count="2">
          <reference field="4294967294" count="1" selected="0">
            <x v="0"/>
          </reference>
          <reference field="10" count="1" selected="0">
            <x v="1"/>
          </reference>
        </references>
      </pivotArea>
    </chartFormat>
    <chartFormat chart="26" format="12" series="1">
      <pivotArea type="data" outline="0" fieldPosition="0">
        <references count="2">
          <reference field="4294967294" count="1" selected="0">
            <x v="0"/>
          </reference>
          <reference field="10" count="1" selected="0">
            <x v="2"/>
          </reference>
        </references>
      </pivotArea>
    </chartFormat>
    <chartFormat chart="26" format="13" series="1">
      <pivotArea type="data" outline="0" fieldPosition="0">
        <references count="2">
          <reference field="4294967294" count="1" selected="0">
            <x v="0"/>
          </reference>
          <reference field="10" count="1" selected="0">
            <x v="3"/>
          </reference>
        </references>
      </pivotArea>
    </chartFormat>
    <chartFormat chart="26" format="14" series="1">
      <pivotArea type="data" outline="0" fieldPosition="0">
        <references count="2">
          <reference field="4294967294" count="1" selected="0">
            <x v="0"/>
          </reference>
          <reference field="10" count="1" selected="0">
            <x v="4"/>
          </reference>
        </references>
      </pivotArea>
    </chartFormat>
    <chartFormat chart="26" format="15" series="1">
      <pivotArea type="data" outline="0" fieldPosition="0">
        <references count="2">
          <reference field="4294967294" count="1" selected="0">
            <x v="0"/>
          </reference>
          <reference field="10" count="1" selected="0">
            <x v="5"/>
          </reference>
        </references>
      </pivotArea>
    </chartFormat>
    <chartFormat chart="23" format="5" series="1">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AB01415-2071-4381-97F7-B921FF67AE74}" sourceName="GENDER">
  <pivotTables>
    <pivotTable tabId="2" name="PivotTable1"/>
    <pivotTable tabId="3" name="PivotTable2"/>
    <pivotTable tabId="4" name="PivotTable3"/>
  </pivotTables>
  <data>
    <tabular pivotCacheId="1823223814">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932C310-FC0B-4465-B87C-976854E385B2}" sourceName="STATUS">
  <pivotTables>
    <pivotTable tabId="2" name="PivotTable1"/>
    <pivotTable tabId="3" name="PivotTable2"/>
    <pivotTable tabId="4" name="PivotTable3"/>
  </pivotTables>
  <data>
    <tabular pivotCacheId="1823223814">
      <items count="3">
        <i x="1" s="1"/>
        <i x="0"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K" xr10:uid="{30CCCDDC-65F2-41E8-9722-BCEBA41DC944}" sourceName="RANK">
  <pivotTables>
    <pivotTable tabId="2" name="PivotTable1"/>
    <pivotTable tabId="3" name="PivotTable2"/>
    <pivotTable tabId="4" name="PivotTable3"/>
  </pivotTables>
  <data>
    <tabular pivotCacheId="1823223814">
      <items count="6">
        <i x="1" s="1"/>
        <i x="0" s="1"/>
        <i x="2" s="1"/>
        <i x="4" s="1"/>
        <i x="3"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673A29F-E797-4F73-B355-64B61FC71E4A}" cache="Slicer_GENDER" caption="GENDER" rowHeight="234950"/>
  <slicer name="STATUS" xr10:uid="{F9376095-1784-483A-AAB4-398CF3D81E60}" cache="Slicer_STATUS" caption="STATUS" rowHeight="234950"/>
  <slicer name="RANK" xr10:uid="{DB2145FF-564A-42A1-BEFB-52F0365E43A7}" cache="Slicer_RANK" caption="RANK"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9D9A6-A334-4761-B1CB-5914EA2E64A9}">
  <dimension ref="A3:E151"/>
  <sheetViews>
    <sheetView workbookViewId="0">
      <selection activeCell="Y14" sqref="Y14"/>
    </sheetView>
  </sheetViews>
  <sheetFormatPr defaultRowHeight="14.4" x14ac:dyDescent="0.3"/>
  <cols>
    <col min="1" max="1" width="14.109375" bestFit="1" customWidth="1"/>
    <col min="2" max="2" width="15.5546875" bestFit="1" customWidth="1"/>
    <col min="3" max="3" width="6" bestFit="1" customWidth="1"/>
    <col min="4" max="4" width="7" bestFit="1" customWidth="1"/>
    <col min="5" max="5" width="10.77734375" bestFit="1" customWidth="1"/>
    <col min="6" max="6" width="5" bestFit="1" customWidth="1"/>
    <col min="7" max="7" width="7" bestFit="1" customWidth="1"/>
    <col min="8" max="8" width="10.77734375" bestFit="1" customWidth="1"/>
    <col min="9" max="10" width="3" bestFit="1" customWidth="1"/>
    <col min="11" max="15" width="4" bestFit="1" customWidth="1"/>
    <col min="16" max="16" width="3" bestFit="1" customWidth="1"/>
    <col min="17" max="17" width="4" bestFit="1" customWidth="1"/>
    <col min="18" max="18" width="3" bestFit="1" customWidth="1"/>
    <col min="19" max="67" width="4" bestFit="1" customWidth="1"/>
    <col min="68" max="68" width="7" bestFit="1" customWidth="1"/>
    <col min="69" max="69" width="10.77734375" bestFit="1" customWidth="1"/>
  </cols>
  <sheetData>
    <row r="3" spans="1:5" x14ac:dyDescent="0.3">
      <c r="A3" s="12" t="s">
        <v>124</v>
      </c>
      <c r="B3" s="12" t="s">
        <v>128</v>
      </c>
    </row>
    <row r="4" spans="1:5" x14ac:dyDescent="0.3">
      <c r="A4" s="12" t="s">
        <v>125</v>
      </c>
      <c r="B4" t="s">
        <v>99</v>
      </c>
      <c r="C4" t="s">
        <v>100</v>
      </c>
      <c r="D4" t="s">
        <v>126</v>
      </c>
      <c r="E4" t="s">
        <v>127</v>
      </c>
    </row>
    <row r="5" spans="1:5" x14ac:dyDescent="0.3">
      <c r="A5" s="13" t="s">
        <v>126</v>
      </c>
      <c r="B5" s="11"/>
      <c r="C5" s="11"/>
      <c r="D5" s="11"/>
      <c r="E5" s="11"/>
    </row>
    <row r="6" spans="1:5" x14ac:dyDescent="0.3">
      <c r="A6" s="14" t="s">
        <v>126</v>
      </c>
      <c r="B6" s="11"/>
      <c r="C6" s="11"/>
      <c r="D6" s="11"/>
      <c r="E6" s="11"/>
    </row>
    <row r="7" spans="1:5" x14ac:dyDescent="0.3">
      <c r="A7" s="13" t="s">
        <v>129</v>
      </c>
      <c r="B7" s="11">
        <v>2175</v>
      </c>
      <c r="C7" s="11">
        <v>3217</v>
      </c>
      <c r="D7" s="11"/>
      <c r="E7" s="11">
        <v>5392</v>
      </c>
    </row>
    <row r="8" spans="1:5" x14ac:dyDescent="0.3">
      <c r="A8" s="14" t="s">
        <v>62</v>
      </c>
      <c r="B8" s="11"/>
      <c r="C8" s="11">
        <v>153</v>
      </c>
      <c r="D8" s="11"/>
      <c r="E8" s="11">
        <v>153</v>
      </c>
    </row>
    <row r="9" spans="1:5" x14ac:dyDescent="0.3">
      <c r="A9" s="14" t="s">
        <v>37</v>
      </c>
      <c r="B9" s="11"/>
      <c r="C9" s="11">
        <v>164</v>
      </c>
      <c r="D9" s="11"/>
      <c r="E9" s="11">
        <v>164</v>
      </c>
    </row>
    <row r="10" spans="1:5" x14ac:dyDescent="0.3">
      <c r="A10" s="14" t="s">
        <v>66</v>
      </c>
      <c r="B10" s="11"/>
      <c r="C10" s="11">
        <v>123</v>
      </c>
      <c r="D10" s="11"/>
      <c r="E10" s="11">
        <v>123</v>
      </c>
    </row>
    <row r="11" spans="1:5" x14ac:dyDescent="0.3">
      <c r="A11" s="14" t="s">
        <v>12</v>
      </c>
      <c r="B11" s="11"/>
      <c r="C11" s="11">
        <v>112</v>
      </c>
      <c r="D11" s="11"/>
      <c r="E11" s="11">
        <v>112</v>
      </c>
    </row>
    <row r="12" spans="1:5" x14ac:dyDescent="0.3">
      <c r="A12" s="14" t="s">
        <v>15</v>
      </c>
      <c r="B12" s="11"/>
      <c r="C12" s="11">
        <v>212</v>
      </c>
      <c r="D12" s="11"/>
      <c r="E12" s="11">
        <v>212</v>
      </c>
    </row>
    <row r="13" spans="1:5" x14ac:dyDescent="0.3">
      <c r="A13" s="14" t="s">
        <v>27</v>
      </c>
      <c r="B13" s="11"/>
      <c r="C13" s="11">
        <v>77</v>
      </c>
      <c r="D13" s="11"/>
      <c r="E13" s="11">
        <v>77</v>
      </c>
    </row>
    <row r="14" spans="1:5" x14ac:dyDescent="0.3">
      <c r="A14" s="14" t="s">
        <v>44</v>
      </c>
      <c r="B14" s="11"/>
      <c r="C14" s="11">
        <v>103</v>
      </c>
      <c r="D14" s="11"/>
      <c r="E14" s="11">
        <v>103</v>
      </c>
    </row>
    <row r="15" spans="1:5" x14ac:dyDescent="0.3">
      <c r="A15" s="14" t="s">
        <v>14</v>
      </c>
      <c r="B15" s="11"/>
      <c r="C15" s="11">
        <v>259</v>
      </c>
      <c r="D15" s="11"/>
      <c r="E15" s="11">
        <v>259</v>
      </c>
    </row>
    <row r="16" spans="1:5" x14ac:dyDescent="0.3">
      <c r="A16" s="14" t="s">
        <v>28</v>
      </c>
      <c r="B16" s="11">
        <v>139</v>
      </c>
      <c r="C16" s="11"/>
      <c r="D16" s="11"/>
      <c r="E16" s="11">
        <v>139</v>
      </c>
    </row>
    <row r="17" spans="1:5" x14ac:dyDescent="0.3">
      <c r="A17" s="14" t="s">
        <v>22</v>
      </c>
      <c r="B17" s="11"/>
      <c r="C17" s="11">
        <v>133</v>
      </c>
      <c r="D17" s="11"/>
      <c r="E17" s="11">
        <v>133</v>
      </c>
    </row>
    <row r="18" spans="1:5" x14ac:dyDescent="0.3">
      <c r="A18" s="14" t="s">
        <v>31</v>
      </c>
      <c r="B18" s="11">
        <v>94</v>
      </c>
      <c r="C18" s="11"/>
      <c r="D18" s="11"/>
      <c r="E18" s="11">
        <v>94</v>
      </c>
    </row>
    <row r="19" spans="1:5" x14ac:dyDescent="0.3">
      <c r="A19" s="14" t="s">
        <v>8</v>
      </c>
      <c r="B19" s="11">
        <v>155</v>
      </c>
      <c r="C19" s="11"/>
      <c r="D19" s="11"/>
      <c r="E19" s="11">
        <v>155</v>
      </c>
    </row>
    <row r="20" spans="1:5" x14ac:dyDescent="0.3">
      <c r="A20" s="14" t="s">
        <v>67</v>
      </c>
      <c r="B20" s="11"/>
      <c r="C20" s="11">
        <v>125</v>
      </c>
      <c r="D20" s="11"/>
      <c r="E20" s="11">
        <v>125</v>
      </c>
    </row>
    <row r="21" spans="1:5" x14ac:dyDescent="0.3">
      <c r="A21" s="14" t="s">
        <v>63</v>
      </c>
      <c r="B21" s="11">
        <v>132</v>
      </c>
      <c r="C21" s="11"/>
      <c r="D21" s="11"/>
      <c r="E21" s="11">
        <v>132</v>
      </c>
    </row>
    <row r="22" spans="1:5" x14ac:dyDescent="0.3">
      <c r="A22" s="14" t="s">
        <v>38</v>
      </c>
      <c r="B22" s="11"/>
      <c r="C22" s="11">
        <v>107</v>
      </c>
      <c r="D22" s="11"/>
      <c r="E22" s="11">
        <v>107</v>
      </c>
    </row>
    <row r="23" spans="1:5" x14ac:dyDescent="0.3">
      <c r="A23" s="14" t="s">
        <v>36</v>
      </c>
      <c r="B23" s="11"/>
      <c r="C23" s="11">
        <v>107</v>
      </c>
      <c r="D23" s="11"/>
      <c r="E23" s="11">
        <v>107</v>
      </c>
    </row>
    <row r="24" spans="1:5" x14ac:dyDescent="0.3">
      <c r="A24" s="14" t="s">
        <v>34</v>
      </c>
      <c r="B24" s="11"/>
      <c r="C24" s="11">
        <v>91</v>
      </c>
      <c r="D24" s="11"/>
      <c r="E24" s="11">
        <v>91</v>
      </c>
    </row>
    <row r="25" spans="1:5" x14ac:dyDescent="0.3">
      <c r="A25" s="14" t="s">
        <v>17</v>
      </c>
      <c r="B25" s="11"/>
      <c r="C25" s="11">
        <v>229</v>
      </c>
      <c r="D25" s="11"/>
      <c r="E25" s="11">
        <v>229</v>
      </c>
    </row>
    <row r="26" spans="1:5" x14ac:dyDescent="0.3">
      <c r="A26" s="14" t="s">
        <v>52</v>
      </c>
      <c r="B26" s="11"/>
      <c r="C26" s="11">
        <v>199</v>
      </c>
      <c r="D26" s="11"/>
      <c r="E26" s="11">
        <v>199</v>
      </c>
    </row>
    <row r="27" spans="1:5" x14ac:dyDescent="0.3">
      <c r="A27" s="14" t="s">
        <v>58</v>
      </c>
      <c r="B27" s="11"/>
      <c r="C27" s="11">
        <v>92</v>
      </c>
      <c r="D27" s="11"/>
      <c r="E27" s="11">
        <v>92</v>
      </c>
    </row>
    <row r="28" spans="1:5" x14ac:dyDescent="0.3">
      <c r="A28" s="14" t="s">
        <v>45</v>
      </c>
      <c r="B28" s="11">
        <v>98</v>
      </c>
      <c r="C28" s="11"/>
      <c r="D28" s="11"/>
      <c r="E28" s="11">
        <v>98</v>
      </c>
    </row>
    <row r="29" spans="1:5" x14ac:dyDescent="0.3">
      <c r="A29" s="14" t="s">
        <v>20</v>
      </c>
      <c r="B29" s="11">
        <v>286</v>
      </c>
      <c r="C29" s="11"/>
      <c r="D29" s="11"/>
      <c r="E29" s="11">
        <v>286</v>
      </c>
    </row>
    <row r="30" spans="1:5" x14ac:dyDescent="0.3">
      <c r="A30" s="14" t="s">
        <v>24</v>
      </c>
      <c r="B30" s="11">
        <v>148</v>
      </c>
      <c r="C30" s="11"/>
      <c r="D30" s="11"/>
      <c r="E30" s="11">
        <v>148</v>
      </c>
    </row>
    <row r="31" spans="1:5" x14ac:dyDescent="0.3">
      <c r="A31" s="14" t="s">
        <v>13</v>
      </c>
      <c r="B31" s="11">
        <v>127</v>
      </c>
      <c r="C31" s="11"/>
      <c r="D31" s="11"/>
      <c r="E31" s="11">
        <v>127</v>
      </c>
    </row>
    <row r="32" spans="1:5" x14ac:dyDescent="0.3">
      <c r="A32" s="14" t="s">
        <v>11</v>
      </c>
      <c r="B32" s="11">
        <v>174</v>
      </c>
      <c r="C32" s="11"/>
      <c r="D32" s="11"/>
      <c r="E32" s="11">
        <v>174</v>
      </c>
    </row>
    <row r="33" spans="1:5" x14ac:dyDescent="0.3">
      <c r="A33" s="14" t="s">
        <v>43</v>
      </c>
      <c r="B33" s="11"/>
      <c r="C33" s="11">
        <v>100</v>
      </c>
      <c r="D33" s="11"/>
      <c r="E33" s="11">
        <v>100</v>
      </c>
    </row>
    <row r="34" spans="1:5" x14ac:dyDescent="0.3">
      <c r="A34" s="14" t="s">
        <v>42</v>
      </c>
      <c r="B34" s="11">
        <v>243</v>
      </c>
      <c r="C34" s="11"/>
      <c r="D34" s="11"/>
      <c r="E34" s="11">
        <v>243</v>
      </c>
    </row>
    <row r="35" spans="1:5" x14ac:dyDescent="0.3">
      <c r="A35" s="14" t="s">
        <v>32</v>
      </c>
      <c r="B35" s="11"/>
      <c r="C35" s="11">
        <v>85</v>
      </c>
      <c r="D35" s="11"/>
      <c r="E35" s="11">
        <v>85</v>
      </c>
    </row>
    <row r="36" spans="1:5" x14ac:dyDescent="0.3">
      <c r="A36" s="14" t="s">
        <v>47</v>
      </c>
      <c r="B36" s="11">
        <v>154</v>
      </c>
      <c r="C36" s="11"/>
      <c r="D36" s="11"/>
      <c r="E36" s="11">
        <v>154</v>
      </c>
    </row>
    <row r="37" spans="1:5" x14ac:dyDescent="0.3">
      <c r="A37" s="14" t="s">
        <v>21</v>
      </c>
      <c r="B37" s="11"/>
      <c r="C37" s="11">
        <v>269</v>
      </c>
      <c r="D37" s="11"/>
      <c r="E37" s="11">
        <v>269</v>
      </c>
    </row>
    <row r="38" spans="1:5" x14ac:dyDescent="0.3">
      <c r="A38" s="14" t="s">
        <v>10</v>
      </c>
      <c r="B38" s="11">
        <v>182</v>
      </c>
      <c r="C38" s="11"/>
      <c r="D38" s="11"/>
      <c r="E38" s="11">
        <v>182</v>
      </c>
    </row>
    <row r="39" spans="1:5" x14ac:dyDescent="0.3">
      <c r="A39" s="14" t="s">
        <v>25</v>
      </c>
      <c r="B39" s="11"/>
      <c r="C39" s="11">
        <v>129</v>
      </c>
      <c r="D39" s="11"/>
      <c r="E39" s="11">
        <v>129</v>
      </c>
    </row>
    <row r="40" spans="1:5" x14ac:dyDescent="0.3">
      <c r="A40" s="14" t="s">
        <v>9</v>
      </c>
      <c r="B40" s="11"/>
      <c r="C40" s="11">
        <v>189</v>
      </c>
      <c r="D40" s="11"/>
      <c r="E40" s="11">
        <v>189</v>
      </c>
    </row>
    <row r="41" spans="1:5" x14ac:dyDescent="0.3">
      <c r="A41" s="14" t="s">
        <v>16</v>
      </c>
      <c r="B41" s="11"/>
      <c r="C41" s="11">
        <v>90</v>
      </c>
      <c r="D41" s="11"/>
      <c r="E41" s="11">
        <v>90</v>
      </c>
    </row>
    <row r="42" spans="1:5" x14ac:dyDescent="0.3">
      <c r="A42" s="14" t="s">
        <v>19</v>
      </c>
      <c r="B42" s="11">
        <v>243</v>
      </c>
      <c r="C42" s="11"/>
      <c r="D42" s="11"/>
      <c r="E42" s="11">
        <v>243</v>
      </c>
    </row>
    <row r="43" spans="1:5" x14ac:dyDescent="0.3">
      <c r="A43" s="14" t="s">
        <v>35</v>
      </c>
      <c r="B43" s="11"/>
      <c r="C43" s="11">
        <v>69</v>
      </c>
      <c r="D43" s="11"/>
      <c r="E43" s="11">
        <v>69</v>
      </c>
    </row>
    <row r="44" spans="1:5" x14ac:dyDescent="0.3">
      <c r="A44" s="13" t="s">
        <v>130</v>
      </c>
      <c r="B44" s="11">
        <v>1818</v>
      </c>
      <c r="C44" s="11">
        <v>1348</v>
      </c>
      <c r="D44" s="11"/>
      <c r="E44" s="11">
        <v>3166</v>
      </c>
    </row>
    <row r="45" spans="1:5" x14ac:dyDescent="0.3">
      <c r="A45" s="14" t="s">
        <v>26</v>
      </c>
      <c r="B45" s="11"/>
      <c r="C45" s="11">
        <v>78</v>
      </c>
      <c r="D45" s="11"/>
      <c r="E45" s="11">
        <v>78</v>
      </c>
    </row>
    <row r="46" spans="1:5" x14ac:dyDescent="0.3">
      <c r="A46" s="14" t="s">
        <v>23</v>
      </c>
      <c r="B46" s="11"/>
      <c r="C46" s="11">
        <v>100</v>
      </c>
      <c r="D46" s="11"/>
      <c r="E46" s="11">
        <v>100</v>
      </c>
    </row>
    <row r="47" spans="1:5" x14ac:dyDescent="0.3">
      <c r="A47" s="14" t="s">
        <v>61</v>
      </c>
      <c r="B47" s="11">
        <v>91</v>
      </c>
      <c r="C47" s="11"/>
      <c r="D47" s="11"/>
      <c r="E47" s="11">
        <v>91</v>
      </c>
    </row>
    <row r="48" spans="1:5" x14ac:dyDescent="0.3">
      <c r="A48" s="14" t="s">
        <v>14</v>
      </c>
      <c r="B48" s="11"/>
      <c r="C48" s="11">
        <v>120</v>
      </c>
      <c r="D48" s="11"/>
      <c r="E48" s="11">
        <v>120</v>
      </c>
    </row>
    <row r="49" spans="1:5" x14ac:dyDescent="0.3">
      <c r="A49" s="14" t="s">
        <v>46</v>
      </c>
      <c r="B49" s="11"/>
      <c r="C49" s="11">
        <v>295</v>
      </c>
      <c r="D49" s="11"/>
      <c r="E49" s="11">
        <v>295</v>
      </c>
    </row>
    <row r="50" spans="1:5" x14ac:dyDescent="0.3">
      <c r="A50" s="14" t="s">
        <v>29</v>
      </c>
      <c r="B50" s="11">
        <v>177</v>
      </c>
      <c r="C50" s="11"/>
      <c r="D50" s="11"/>
      <c r="E50" s="11">
        <v>177</v>
      </c>
    </row>
    <row r="51" spans="1:5" x14ac:dyDescent="0.3">
      <c r="A51" s="14" t="s">
        <v>30</v>
      </c>
      <c r="B51" s="11">
        <v>106</v>
      </c>
      <c r="C51" s="11">
        <v>89</v>
      </c>
      <c r="D51" s="11"/>
      <c r="E51" s="11">
        <v>195</v>
      </c>
    </row>
    <row r="52" spans="1:5" x14ac:dyDescent="0.3">
      <c r="A52" s="14" t="s">
        <v>22</v>
      </c>
      <c r="B52" s="11"/>
      <c r="C52" s="11">
        <v>127</v>
      </c>
      <c r="D52" s="11"/>
      <c r="E52" s="11">
        <v>127</v>
      </c>
    </row>
    <row r="53" spans="1:5" x14ac:dyDescent="0.3">
      <c r="A53" s="14" t="s">
        <v>18</v>
      </c>
      <c r="B53" s="11">
        <v>210</v>
      </c>
      <c r="C53" s="11"/>
      <c r="D53" s="11"/>
      <c r="E53" s="11">
        <v>210</v>
      </c>
    </row>
    <row r="54" spans="1:5" x14ac:dyDescent="0.3">
      <c r="A54" s="14" t="s">
        <v>31</v>
      </c>
      <c r="B54" s="11">
        <v>107</v>
      </c>
      <c r="C54" s="11"/>
      <c r="D54" s="11"/>
      <c r="E54" s="11">
        <v>107</v>
      </c>
    </row>
    <row r="55" spans="1:5" x14ac:dyDescent="0.3">
      <c r="A55" s="14" t="s">
        <v>8</v>
      </c>
      <c r="B55" s="11">
        <v>113</v>
      </c>
      <c r="C55" s="11"/>
      <c r="D55" s="11"/>
      <c r="E55" s="11">
        <v>113</v>
      </c>
    </row>
    <row r="56" spans="1:5" x14ac:dyDescent="0.3">
      <c r="A56" s="14" t="s">
        <v>39</v>
      </c>
      <c r="B56" s="11"/>
      <c r="C56" s="11">
        <v>125</v>
      </c>
      <c r="D56" s="11"/>
      <c r="E56" s="11">
        <v>125</v>
      </c>
    </row>
    <row r="57" spans="1:5" x14ac:dyDescent="0.3">
      <c r="A57" s="14" t="s">
        <v>64</v>
      </c>
      <c r="B57" s="11">
        <v>143</v>
      </c>
      <c r="C57" s="11"/>
      <c r="D57" s="11"/>
      <c r="E57" s="11">
        <v>143</v>
      </c>
    </row>
    <row r="58" spans="1:5" x14ac:dyDescent="0.3">
      <c r="A58" s="14" t="s">
        <v>24</v>
      </c>
      <c r="B58" s="11">
        <v>135</v>
      </c>
      <c r="C58" s="11"/>
      <c r="D58" s="11"/>
      <c r="E58" s="11">
        <v>135</v>
      </c>
    </row>
    <row r="59" spans="1:5" x14ac:dyDescent="0.3">
      <c r="A59" s="14" t="s">
        <v>65</v>
      </c>
      <c r="B59" s="11">
        <v>145</v>
      </c>
      <c r="C59" s="11"/>
      <c r="D59" s="11"/>
      <c r="E59" s="11">
        <v>145</v>
      </c>
    </row>
    <row r="60" spans="1:5" x14ac:dyDescent="0.3">
      <c r="A60" s="14" t="s">
        <v>11</v>
      </c>
      <c r="B60" s="11">
        <v>48</v>
      </c>
      <c r="C60" s="11"/>
      <c r="D60" s="11"/>
      <c r="E60" s="11">
        <v>48</v>
      </c>
    </row>
    <row r="61" spans="1:5" x14ac:dyDescent="0.3">
      <c r="A61" s="14" t="s">
        <v>57</v>
      </c>
      <c r="B61" s="11"/>
      <c r="C61" s="11">
        <v>166</v>
      </c>
      <c r="D61" s="11"/>
      <c r="E61" s="11">
        <v>166</v>
      </c>
    </row>
    <row r="62" spans="1:5" x14ac:dyDescent="0.3">
      <c r="A62" s="14" t="s">
        <v>33</v>
      </c>
      <c r="B62" s="11"/>
      <c r="C62" s="11">
        <v>135</v>
      </c>
      <c r="D62" s="11"/>
      <c r="E62" s="11">
        <v>135</v>
      </c>
    </row>
    <row r="63" spans="1:5" x14ac:dyDescent="0.3">
      <c r="A63" s="14" t="s">
        <v>50</v>
      </c>
      <c r="B63" s="11">
        <v>91</v>
      </c>
      <c r="C63" s="11"/>
      <c r="D63" s="11"/>
      <c r="E63" s="11">
        <v>91</v>
      </c>
    </row>
    <row r="64" spans="1:5" x14ac:dyDescent="0.3">
      <c r="A64" s="14" t="s">
        <v>32</v>
      </c>
      <c r="B64" s="11"/>
      <c r="C64" s="11">
        <v>113</v>
      </c>
      <c r="D64" s="11"/>
      <c r="E64" s="11">
        <v>113</v>
      </c>
    </row>
    <row r="65" spans="1:5" x14ac:dyDescent="0.3">
      <c r="A65" s="14" t="s">
        <v>47</v>
      </c>
      <c r="B65" s="11">
        <v>98</v>
      </c>
      <c r="C65" s="11"/>
      <c r="D65" s="11"/>
      <c r="E65" s="11">
        <v>98</v>
      </c>
    </row>
    <row r="66" spans="1:5" x14ac:dyDescent="0.3">
      <c r="A66" s="14" t="s">
        <v>53</v>
      </c>
      <c r="B66" s="11">
        <v>97</v>
      </c>
      <c r="C66" s="11"/>
      <c r="D66" s="11"/>
      <c r="E66" s="11">
        <v>97</v>
      </c>
    </row>
    <row r="67" spans="1:5" x14ac:dyDescent="0.3">
      <c r="A67" s="14" t="s">
        <v>49</v>
      </c>
      <c r="B67" s="11">
        <v>134</v>
      </c>
      <c r="C67" s="11"/>
      <c r="D67" s="11"/>
      <c r="E67" s="11">
        <v>134</v>
      </c>
    </row>
    <row r="68" spans="1:5" x14ac:dyDescent="0.3">
      <c r="A68" s="14" t="s">
        <v>56</v>
      </c>
      <c r="B68" s="11">
        <v>123</v>
      </c>
      <c r="C68" s="11"/>
      <c r="D68" s="11"/>
      <c r="E68" s="11">
        <v>123</v>
      </c>
    </row>
    <row r="69" spans="1:5" x14ac:dyDescent="0.3">
      <c r="A69" s="13" t="s">
        <v>131</v>
      </c>
      <c r="B69" s="11">
        <v>529</v>
      </c>
      <c r="C69" s="11">
        <v>1380</v>
      </c>
      <c r="D69" s="11"/>
      <c r="E69" s="11">
        <v>1909</v>
      </c>
    </row>
    <row r="70" spans="1:5" x14ac:dyDescent="0.3">
      <c r="A70" s="14" t="s">
        <v>15</v>
      </c>
      <c r="B70" s="11"/>
      <c r="C70" s="11">
        <v>140</v>
      </c>
      <c r="D70" s="11"/>
      <c r="E70" s="11">
        <v>140</v>
      </c>
    </row>
    <row r="71" spans="1:5" x14ac:dyDescent="0.3">
      <c r="A71" s="14" t="s">
        <v>44</v>
      </c>
      <c r="B71" s="11"/>
      <c r="C71" s="11">
        <v>156</v>
      </c>
      <c r="D71" s="11"/>
      <c r="E71" s="11">
        <v>156</v>
      </c>
    </row>
    <row r="72" spans="1:5" x14ac:dyDescent="0.3">
      <c r="A72" s="14" t="s">
        <v>14</v>
      </c>
      <c r="B72" s="11"/>
      <c r="C72" s="11">
        <v>166</v>
      </c>
      <c r="D72" s="11"/>
      <c r="E72" s="11">
        <v>166</v>
      </c>
    </row>
    <row r="73" spans="1:5" x14ac:dyDescent="0.3">
      <c r="A73" s="14" t="s">
        <v>41</v>
      </c>
      <c r="B73" s="11">
        <v>142</v>
      </c>
      <c r="C73" s="11"/>
      <c r="D73" s="11"/>
      <c r="E73" s="11">
        <v>142</v>
      </c>
    </row>
    <row r="74" spans="1:5" x14ac:dyDescent="0.3">
      <c r="A74" s="14" t="s">
        <v>22</v>
      </c>
      <c r="B74" s="11"/>
      <c r="C74" s="11">
        <v>171</v>
      </c>
      <c r="D74" s="11"/>
      <c r="E74" s="11">
        <v>171</v>
      </c>
    </row>
    <row r="75" spans="1:5" x14ac:dyDescent="0.3">
      <c r="A75" s="14" t="s">
        <v>18</v>
      </c>
      <c r="B75" s="11">
        <v>99</v>
      </c>
      <c r="C75" s="11"/>
      <c r="D75" s="11"/>
      <c r="E75" s="11">
        <v>99</v>
      </c>
    </row>
    <row r="76" spans="1:5" x14ac:dyDescent="0.3">
      <c r="A76" s="14" t="s">
        <v>51</v>
      </c>
      <c r="B76" s="11">
        <v>85</v>
      </c>
      <c r="C76" s="11"/>
      <c r="D76" s="11"/>
      <c r="E76" s="11">
        <v>85</v>
      </c>
    </row>
    <row r="77" spans="1:5" x14ac:dyDescent="0.3">
      <c r="A77" s="14" t="s">
        <v>38</v>
      </c>
      <c r="B77" s="11"/>
      <c r="C77" s="11">
        <v>87</v>
      </c>
      <c r="D77" s="11"/>
      <c r="E77" s="11">
        <v>87</v>
      </c>
    </row>
    <row r="78" spans="1:5" x14ac:dyDescent="0.3">
      <c r="A78" s="14" t="s">
        <v>58</v>
      </c>
      <c r="B78" s="11"/>
      <c r="C78" s="11">
        <v>126</v>
      </c>
      <c r="D78" s="11"/>
      <c r="E78" s="11">
        <v>126</v>
      </c>
    </row>
    <row r="79" spans="1:5" x14ac:dyDescent="0.3">
      <c r="A79" s="14" t="s">
        <v>59</v>
      </c>
      <c r="B79" s="11"/>
      <c r="C79" s="11">
        <v>80</v>
      </c>
      <c r="D79" s="11"/>
      <c r="E79" s="11">
        <v>80</v>
      </c>
    </row>
    <row r="80" spans="1:5" x14ac:dyDescent="0.3">
      <c r="A80" s="14" t="s">
        <v>40</v>
      </c>
      <c r="B80" s="11"/>
      <c r="C80" s="11">
        <v>127</v>
      </c>
      <c r="D80" s="11"/>
      <c r="E80" s="11">
        <v>127</v>
      </c>
    </row>
    <row r="81" spans="1:5" x14ac:dyDescent="0.3">
      <c r="A81" s="14" t="s">
        <v>55</v>
      </c>
      <c r="B81" s="11">
        <v>135</v>
      </c>
      <c r="C81" s="11"/>
      <c r="D81" s="11"/>
      <c r="E81" s="11">
        <v>135</v>
      </c>
    </row>
    <row r="82" spans="1:5" x14ac:dyDescent="0.3">
      <c r="A82" s="14" t="s">
        <v>54</v>
      </c>
      <c r="B82" s="11"/>
      <c r="C82" s="11">
        <v>153</v>
      </c>
      <c r="D82" s="11"/>
      <c r="E82" s="11">
        <v>153</v>
      </c>
    </row>
    <row r="83" spans="1:5" x14ac:dyDescent="0.3">
      <c r="A83" s="14" t="s">
        <v>25</v>
      </c>
      <c r="B83" s="11"/>
      <c r="C83" s="11">
        <v>174</v>
      </c>
      <c r="D83" s="11"/>
      <c r="E83" s="11">
        <v>174</v>
      </c>
    </row>
    <row r="84" spans="1:5" x14ac:dyDescent="0.3">
      <c r="A84" s="14" t="s">
        <v>60</v>
      </c>
      <c r="B84" s="11">
        <v>68</v>
      </c>
      <c r="C84" s="11"/>
      <c r="D84" s="11"/>
      <c r="E84" s="11">
        <v>68</v>
      </c>
    </row>
    <row r="85" spans="1:5" x14ac:dyDescent="0.3">
      <c r="A85" s="13" t="s">
        <v>132</v>
      </c>
      <c r="B85" s="11">
        <v>1984</v>
      </c>
      <c r="C85" s="11">
        <v>1702</v>
      </c>
      <c r="D85" s="11"/>
      <c r="E85" s="11">
        <v>3686</v>
      </c>
    </row>
    <row r="86" spans="1:5" x14ac:dyDescent="0.3">
      <c r="A86" s="14" t="s">
        <v>26</v>
      </c>
      <c r="B86" s="11"/>
      <c r="C86" s="11">
        <v>127</v>
      </c>
      <c r="D86" s="11"/>
      <c r="E86" s="11">
        <v>127</v>
      </c>
    </row>
    <row r="87" spans="1:5" x14ac:dyDescent="0.3">
      <c r="A87" s="14" t="s">
        <v>80</v>
      </c>
      <c r="B87" s="11"/>
      <c r="C87" s="11">
        <v>145</v>
      </c>
      <c r="D87" s="11"/>
      <c r="E87" s="11">
        <v>145</v>
      </c>
    </row>
    <row r="88" spans="1:5" x14ac:dyDescent="0.3">
      <c r="A88" s="14" t="s">
        <v>72</v>
      </c>
      <c r="B88" s="11"/>
      <c r="C88" s="11">
        <v>146</v>
      </c>
      <c r="D88" s="11"/>
      <c r="E88" s="11">
        <v>146</v>
      </c>
    </row>
    <row r="89" spans="1:5" x14ac:dyDescent="0.3">
      <c r="A89" s="14" t="s">
        <v>15</v>
      </c>
      <c r="B89" s="11"/>
      <c r="C89" s="11">
        <v>55</v>
      </c>
      <c r="D89" s="11"/>
      <c r="E89" s="11">
        <v>55</v>
      </c>
    </row>
    <row r="90" spans="1:5" x14ac:dyDescent="0.3">
      <c r="A90" s="14" t="s">
        <v>73</v>
      </c>
      <c r="B90" s="11"/>
      <c r="C90" s="11">
        <v>103</v>
      </c>
      <c r="D90" s="11"/>
      <c r="E90" s="11">
        <v>103</v>
      </c>
    </row>
    <row r="91" spans="1:5" x14ac:dyDescent="0.3">
      <c r="A91" s="14" t="s">
        <v>46</v>
      </c>
      <c r="B91" s="11"/>
      <c r="C91" s="11">
        <v>219</v>
      </c>
      <c r="D91" s="11"/>
      <c r="E91" s="11">
        <v>219</v>
      </c>
    </row>
    <row r="92" spans="1:5" x14ac:dyDescent="0.3">
      <c r="A92" s="14" t="s">
        <v>18</v>
      </c>
      <c r="B92" s="11">
        <v>130</v>
      </c>
      <c r="C92" s="11"/>
      <c r="D92" s="11"/>
      <c r="E92" s="11">
        <v>130</v>
      </c>
    </row>
    <row r="93" spans="1:5" x14ac:dyDescent="0.3">
      <c r="A93" s="14" t="s">
        <v>8</v>
      </c>
      <c r="B93" s="11">
        <v>94</v>
      </c>
      <c r="C93" s="11"/>
      <c r="D93" s="11"/>
      <c r="E93" s="11">
        <v>94</v>
      </c>
    </row>
    <row r="94" spans="1:5" x14ac:dyDescent="0.3">
      <c r="A94" s="14" t="s">
        <v>34</v>
      </c>
      <c r="B94" s="11"/>
      <c r="C94" s="11">
        <v>138</v>
      </c>
      <c r="D94" s="11"/>
      <c r="E94" s="11">
        <v>138</v>
      </c>
    </row>
    <row r="95" spans="1:5" x14ac:dyDescent="0.3">
      <c r="A95" s="14" t="s">
        <v>75</v>
      </c>
      <c r="B95" s="11"/>
      <c r="C95" s="11">
        <v>104</v>
      </c>
      <c r="D95" s="11"/>
      <c r="E95" s="11">
        <v>104</v>
      </c>
    </row>
    <row r="96" spans="1:5" x14ac:dyDescent="0.3">
      <c r="A96" s="14" t="s">
        <v>76</v>
      </c>
      <c r="B96" s="11"/>
      <c r="C96" s="11">
        <v>258</v>
      </c>
      <c r="D96" s="11"/>
      <c r="E96" s="11">
        <v>258</v>
      </c>
    </row>
    <row r="97" spans="1:5" x14ac:dyDescent="0.3">
      <c r="A97" s="14" t="s">
        <v>20</v>
      </c>
      <c r="B97" s="11">
        <v>337</v>
      </c>
      <c r="C97" s="11"/>
      <c r="D97" s="11"/>
      <c r="E97" s="11">
        <v>337</v>
      </c>
    </row>
    <row r="98" spans="1:5" x14ac:dyDescent="0.3">
      <c r="A98" s="14" t="s">
        <v>69</v>
      </c>
      <c r="B98" s="11">
        <v>120</v>
      </c>
      <c r="C98" s="11"/>
      <c r="D98" s="11"/>
      <c r="E98" s="11">
        <v>120</v>
      </c>
    </row>
    <row r="99" spans="1:5" x14ac:dyDescent="0.3">
      <c r="A99" s="14" t="s">
        <v>71</v>
      </c>
      <c r="B99" s="11"/>
      <c r="C99" s="11">
        <v>94</v>
      </c>
      <c r="D99" s="11"/>
      <c r="E99" s="11">
        <v>94</v>
      </c>
    </row>
    <row r="100" spans="1:5" x14ac:dyDescent="0.3">
      <c r="A100" s="14" t="s">
        <v>13</v>
      </c>
      <c r="B100" s="11">
        <v>259</v>
      </c>
      <c r="C100" s="11"/>
      <c r="D100" s="11"/>
      <c r="E100" s="11">
        <v>259</v>
      </c>
    </row>
    <row r="101" spans="1:5" x14ac:dyDescent="0.3">
      <c r="A101" s="14" t="s">
        <v>79</v>
      </c>
      <c r="B101" s="11">
        <v>173</v>
      </c>
      <c r="C101" s="11"/>
      <c r="D101" s="11"/>
      <c r="E101" s="11">
        <v>173</v>
      </c>
    </row>
    <row r="102" spans="1:5" x14ac:dyDescent="0.3">
      <c r="A102" s="14" t="s">
        <v>11</v>
      </c>
      <c r="B102" s="11">
        <v>143</v>
      </c>
      <c r="C102" s="11"/>
      <c r="D102" s="11"/>
      <c r="E102" s="11">
        <v>143</v>
      </c>
    </row>
    <row r="103" spans="1:5" x14ac:dyDescent="0.3">
      <c r="A103" s="14" t="s">
        <v>77</v>
      </c>
      <c r="B103" s="11">
        <v>139</v>
      </c>
      <c r="C103" s="11"/>
      <c r="D103" s="11"/>
      <c r="E103" s="11">
        <v>139</v>
      </c>
    </row>
    <row r="104" spans="1:5" x14ac:dyDescent="0.3">
      <c r="A104" s="14" t="s">
        <v>70</v>
      </c>
      <c r="B104" s="11"/>
      <c r="C104" s="11">
        <v>91</v>
      </c>
      <c r="D104" s="11"/>
      <c r="E104" s="11">
        <v>91</v>
      </c>
    </row>
    <row r="105" spans="1:5" x14ac:dyDescent="0.3">
      <c r="A105" s="14" t="s">
        <v>47</v>
      </c>
      <c r="B105" s="11">
        <v>67</v>
      </c>
      <c r="C105" s="11"/>
      <c r="D105" s="11"/>
      <c r="E105" s="11">
        <v>67</v>
      </c>
    </row>
    <row r="106" spans="1:5" x14ac:dyDescent="0.3">
      <c r="A106" s="14" t="s">
        <v>48</v>
      </c>
      <c r="B106" s="11">
        <v>154</v>
      </c>
      <c r="C106" s="11"/>
      <c r="D106" s="11"/>
      <c r="E106" s="11">
        <v>154</v>
      </c>
    </row>
    <row r="107" spans="1:5" x14ac:dyDescent="0.3">
      <c r="A107" s="14" t="s">
        <v>78</v>
      </c>
      <c r="B107" s="11">
        <v>155</v>
      </c>
      <c r="C107" s="11"/>
      <c r="D107" s="11"/>
      <c r="E107" s="11">
        <v>155</v>
      </c>
    </row>
    <row r="108" spans="1:5" x14ac:dyDescent="0.3">
      <c r="A108" s="14" t="s">
        <v>21</v>
      </c>
      <c r="B108" s="11"/>
      <c r="C108" s="11">
        <v>58</v>
      </c>
      <c r="D108" s="11"/>
      <c r="E108" s="11">
        <v>58</v>
      </c>
    </row>
    <row r="109" spans="1:5" x14ac:dyDescent="0.3">
      <c r="A109" s="14" t="s">
        <v>9</v>
      </c>
      <c r="B109" s="11"/>
      <c r="C109" s="11">
        <v>164</v>
      </c>
      <c r="D109" s="11"/>
      <c r="E109" s="11">
        <v>164</v>
      </c>
    </row>
    <row r="110" spans="1:5" x14ac:dyDescent="0.3">
      <c r="A110" s="14" t="s">
        <v>16</v>
      </c>
      <c r="B110" s="11">
        <v>143</v>
      </c>
      <c r="C110" s="11"/>
      <c r="D110" s="11"/>
      <c r="E110" s="11">
        <v>143</v>
      </c>
    </row>
    <row r="111" spans="1:5" x14ac:dyDescent="0.3">
      <c r="A111" s="14" t="s">
        <v>19</v>
      </c>
      <c r="B111" s="11">
        <v>70</v>
      </c>
      <c r="C111" s="11"/>
      <c r="D111" s="11"/>
      <c r="E111" s="11">
        <v>70</v>
      </c>
    </row>
    <row r="112" spans="1:5" x14ac:dyDescent="0.3">
      <c r="A112" s="13" t="s">
        <v>133</v>
      </c>
      <c r="B112" s="11">
        <v>491</v>
      </c>
      <c r="C112" s="11">
        <v>287</v>
      </c>
      <c r="D112" s="11"/>
      <c r="E112" s="11">
        <v>778</v>
      </c>
    </row>
    <row r="113" spans="1:5" x14ac:dyDescent="0.3">
      <c r="A113" s="14" t="s">
        <v>83</v>
      </c>
      <c r="B113" s="11">
        <v>103</v>
      </c>
      <c r="C113" s="11"/>
      <c r="D113" s="11"/>
      <c r="E113" s="11">
        <v>103</v>
      </c>
    </row>
    <row r="114" spans="1:5" x14ac:dyDescent="0.3">
      <c r="A114" s="14" t="s">
        <v>22</v>
      </c>
      <c r="B114" s="11"/>
      <c r="C114" s="11">
        <v>122</v>
      </c>
      <c r="D114" s="11"/>
      <c r="E114" s="11">
        <v>122</v>
      </c>
    </row>
    <row r="115" spans="1:5" x14ac:dyDescent="0.3">
      <c r="A115" s="14" t="s">
        <v>8</v>
      </c>
      <c r="B115" s="11">
        <v>131</v>
      </c>
      <c r="C115" s="11"/>
      <c r="D115" s="11"/>
      <c r="E115" s="11">
        <v>131</v>
      </c>
    </row>
    <row r="116" spans="1:5" x14ac:dyDescent="0.3">
      <c r="A116" s="14" t="s">
        <v>68</v>
      </c>
      <c r="B116" s="11">
        <v>144</v>
      </c>
      <c r="C116" s="11"/>
      <c r="D116" s="11"/>
      <c r="E116" s="11">
        <v>144</v>
      </c>
    </row>
    <row r="117" spans="1:5" x14ac:dyDescent="0.3">
      <c r="A117" s="14" t="s">
        <v>17</v>
      </c>
      <c r="B117" s="11"/>
      <c r="C117" s="11">
        <v>77</v>
      </c>
      <c r="D117" s="11"/>
      <c r="E117" s="11">
        <v>77</v>
      </c>
    </row>
    <row r="118" spans="1:5" x14ac:dyDescent="0.3">
      <c r="A118" s="14" t="s">
        <v>74</v>
      </c>
      <c r="B118" s="11"/>
      <c r="C118" s="11">
        <v>88</v>
      </c>
      <c r="D118" s="11"/>
      <c r="E118" s="11">
        <v>88</v>
      </c>
    </row>
    <row r="119" spans="1:5" x14ac:dyDescent="0.3">
      <c r="A119" s="14" t="s">
        <v>47</v>
      </c>
      <c r="B119" s="11">
        <v>113</v>
      </c>
      <c r="C119" s="11"/>
      <c r="D119" s="11"/>
      <c r="E119" s="11">
        <v>113</v>
      </c>
    </row>
    <row r="120" spans="1:5" x14ac:dyDescent="0.3">
      <c r="A120" s="13" t="s">
        <v>134</v>
      </c>
      <c r="B120" s="11">
        <v>245</v>
      </c>
      <c r="C120" s="11">
        <v>425</v>
      </c>
      <c r="D120" s="11"/>
      <c r="E120" s="11">
        <v>670</v>
      </c>
    </row>
    <row r="121" spans="1:5" x14ac:dyDescent="0.3">
      <c r="A121" s="14" t="s">
        <v>44</v>
      </c>
      <c r="B121" s="11"/>
      <c r="C121" s="11">
        <v>123</v>
      </c>
      <c r="D121" s="11"/>
      <c r="E121" s="11">
        <v>123</v>
      </c>
    </row>
    <row r="122" spans="1:5" x14ac:dyDescent="0.3">
      <c r="A122" s="14" t="s">
        <v>84</v>
      </c>
      <c r="B122" s="11">
        <v>55</v>
      </c>
      <c r="C122" s="11"/>
      <c r="D122" s="11"/>
      <c r="E122" s="11">
        <v>55</v>
      </c>
    </row>
    <row r="123" spans="1:5" x14ac:dyDescent="0.3">
      <c r="A123" s="14" t="s">
        <v>52</v>
      </c>
      <c r="B123" s="11"/>
      <c r="C123" s="11">
        <v>126</v>
      </c>
      <c r="D123" s="11"/>
      <c r="E123" s="11">
        <v>126</v>
      </c>
    </row>
    <row r="124" spans="1:5" x14ac:dyDescent="0.3">
      <c r="A124" s="14" t="s">
        <v>20</v>
      </c>
      <c r="B124" s="11">
        <v>85</v>
      </c>
      <c r="C124" s="11"/>
      <c r="D124" s="11"/>
      <c r="E124" s="11">
        <v>85</v>
      </c>
    </row>
    <row r="125" spans="1:5" x14ac:dyDescent="0.3">
      <c r="A125" s="14" t="s">
        <v>82</v>
      </c>
      <c r="B125" s="11">
        <v>105</v>
      </c>
      <c r="C125" s="11"/>
      <c r="D125" s="11"/>
      <c r="E125" s="11">
        <v>105</v>
      </c>
    </row>
    <row r="126" spans="1:5" x14ac:dyDescent="0.3">
      <c r="A126" s="14" t="s">
        <v>16</v>
      </c>
      <c r="B126" s="11"/>
      <c r="C126" s="11">
        <v>176</v>
      </c>
      <c r="D126" s="11"/>
      <c r="E126" s="11">
        <v>176</v>
      </c>
    </row>
    <row r="127" spans="1:5" x14ac:dyDescent="0.3">
      <c r="A127" s="13" t="s">
        <v>135</v>
      </c>
      <c r="B127" s="11">
        <v>533</v>
      </c>
      <c r="C127" s="11">
        <v>1091</v>
      </c>
      <c r="D127" s="11"/>
      <c r="E127" s="11">
        <v>1624</v>
      </c>
    </row>
    <row r="128" spans="1:5" x14ac:dyDescent="0.3">
      <c r="A128" s="14" t="s">
        <v>90</v>
      </c>
      <c r="B128" s="11"/>
      <c r="C128" s="11">
        <v>112</v>
      </c>
      <c r="D128" s="11"/>
      <c r="E128" s="11">
        <v>112</v>
      </c>
    </row>
    <row r="129" spans="1:5" x14ac:dyDescent="0.3">
      <c r="A129" s="14" t="s">
        <v>61</v>
      </c>
      <c r="B129" s="11">
        <v>110</v>
      </c>
      <c r="C129" s="11"/>
      <c r="D129" s="11"/>
      <c r="E129" s="11">
        <v>110</v>
      </c>
    </row>
    <row r="130" spans="1:5" x14ac:dyDescent="0.3">
      <c r="A130" s="14" t="s">
        <v>91</v>
      </c>
      <c r="B130" s="11"/>
      <c r="C130" s="11">
        <v>156</v>
      </c>
      <c r="D130" s="11"/>
      <c r="E130" s="11">
        <v>156</v>
      </c>
    </row>
    <row r="131" spans="1:5" x14ac:dyDescent="0.3">
      <c r="A131" s="14" t="s">
        <v>94</v>
      </c>
      <c r="B131" s="11">
        <v>86</v>
      </c>
      <c r="C131" s="11"/>
      <c r="D131" s="11"/>
      <c r="E131" s="11">
        <v>86</v>
      </c>
    </row>
    <row r="132" spans="1:5" x14ac:dyDescent="0.3">
      <c r="A132" s="14" t="s">
        <v>88</v>
      </c>
      <c r="B132" s="11"/>
      <c r="C132" s="11">
        <v>143</v>
      </c>
      <c r="D132" s="11"/>
      <c r="E132" s="11">
        <v>143</v>
      </c>
    </row>
    <row r="133" spans="1:5" x14ac:dyDescent="0.3">
      <c r="A133" s="14" t="s">
        <v>92</v>
      </c>
      <c r="B133" s="11"/>
      <c r="C133" s="11">
        <v>159</v>
      </c>
      <c r="D133" s="11"/>
      <c r="E133" s="11">
        <v>159</v>
      </c>
    </row>
    <row r="134" spans="1:5" x14ac:dyDescent="0.3">
      <c r="A134" s="14" t="s">
        <v>85</v>
      </c>
      <c r="B134" s="11"/>
      <c r="C134" s="11">
        <v>84</v>
      </c>
      <c r="D134" s="11"/>
      <c r="E134" s="11">
        <v>84</v>
      </c>
    </row>
    <row r="135" spans="1:5" x14ac:dyDescent="0.3">
      <c r="A135" s="14" t="s">
        <v>47</v>
      </c>
      <c r="B135" s="11">
        <v>141</v>
      </c>
      <c r="C135" s="11"/>
      <c r="D135" s="11"/>
      <c r="E135" s="11">
        <v>141</v>
      </c>
    </row>
    <row r="136" spans="1:5" x14ac:dyDescent="0.3">
      <c r="A136" s="14" t="s">
        <v>54</v>
      </c>
      <c r="B136" s="11"/>
      <c r="C136" s="11">
        <v>134</v>
      </c>
      <c r="D136" s="11"/>
      <c r="E136" s="11">
        <v>134</v>
      </c>
    </row>
    <row r="137" spans="1:5" x14ac:dyDescent="0.3">
      <c r="A137" s="14" t="s">
        <v>87</v>
      </c>
      <c r="B137" s="11"/>
      <c r="C137" s="11">
        <v>154</v>
      </c>
      <c r="D137" s="11"/>
      <c r="E137" s="11">
        <v>154</v>
      </c>
    </row>
    <row r="138" spans="1:5" x14ac:dyDescent="0.3">
      <c r="A138" s="14" t="s">
        <v>86</v>
      </c>
      <c r="B138" s="11"/>
      <c r="C138" s="11">
        <v>149</v>
      </c>
      <c r="D138" s="11"/>
      <c r="E138" s="11">
        <v>149</v>
      </c>
    </row>
    <row r="139" spans="1:5" x14ac:dyDescent="0.3">
      <c r="A139" s="14" t="s">
        <v>81</v>
      </c>
      <c r="B139" s="11">
        <v>80</v>
      </c>
      <c r="C139" s="11"/>
      <c r="D139" s="11"/>
      <c r="E139" s="11">
        <v>80</v>
      </c>
    </row>
    <row r="140" spans="1:5" x14ac:dyDescent="0.3">
      <c r="A140" s="14" t="s">
        <v>89</v>
      </c>
      <c r="B140" s="11">
        <v>116</v>
      </c>
      <c r="C140" s="11"/>
      <c r="D140" s="11"/>
      <c r="E140" s="11">
        <v>116</v>
      </c>
    </row>
    <row r="141" spans="1:5" x14ac:dyDescent="0.3">
      <c r="A141" s="13" t="s">
        <v>136</v>
      </c>
      <c r="B141" s="11">
        <v>395</v>
      </c>
      <c r="C141" s="11">
        <v>560</v>
      </c>
      <c r="D141" s="11"/>
      <c r="E141" s="11">
        <v>955</v>
      </c>
    </row>
    <row r="142" spans="1:5" x14ac:dyDescent="0.3">
      <c r="A142" s="14" t="s">
        <v>93</v>
      </c>
      <c r="B142" s="11"/>
      <c r="C142" s="11">
        <v>123</v>
      </c>
      <c r="D142" s="11"/>
      <c r="E142" s="11">
        <v>123</v>
      </c>
    </row>
    <row r="143" spans="1:5" x14ac:dyDescent="0.3">
      <c r="A143" s="14" t="s">
        <v>98</v>
      </c>
      <c r="B143" s="11"/>
      <c r="C143" s="11">
        <v>109</v>
      </c>
      <c r="D143" s="11"/>
      <c r="E143" s="11">
        <v>109</v>
      </c>
    </row>
    <row r="144" spans="1:5" x14ac:dyDescent="0.3">
      <c r="A144" s="14" t="s">
        <v>97</v>
      </c>
      <c r="B144" s="11">
        <v>146</v>
      </c>
      <c r="C144" s="11"/>
      <c r="D144" s="11"/>
      <c r="E144" s="11">
        <v>146</v>
      </c>
    </row>
    <row r="145" spans="1:5" x14ac:dyDescent="0.3">
      <c r="A145" s="14" t="s">
        <v>96</v>
      </c>
      <c r="B145" s="11">
        <v>125</v>
      </c>
      <c r="C145" s="11"/>
      <c r="D145" s="11"/>
      <c r="E145" s="11">
        <v>125</v>
      </c>
    </row>
    <row r="146" spans="1:5" x14ac:dyDescent="0.3">
      <c r="A146" s="14" t="s">
        <v>121</v>
      </c>
      <c r="B146" s="11"/>
      <c r="C146" s="11">
        <v>156</v>
      </c>
      <c r="D146" s="11"/>
      <c r="E146" s="11">
        <v>156</v>
      </c>
    </row>
    <row r="147" spans="1:5" x14ac:dyDescent="0.3">
      <c r="A147" s="14" t="s">
        <v>95</v>
      </c>
      <c r="B147" s="11">
        <v>124</v>
      </c>
      <c r="C147" s="11"/>
      <c r="D147" s="11"/>
      <c r="E147" s="11">
        <v>124</v>
      </c>
    </row>
    <row r="148" spans="1:5" x14ac:dyDescent="0.3">
      <c r="A148" s="14" t="s">
        <v>123</v>
      </c>
      <c r="B148" s="11"/>
      <c r="C148" s="11">
        <v>172</v>
      </c>
      <c r="D148" s="11"/>
      <c r="E148" s="11">
        <v>172</v>
      </c>
    </row>
    <row r="149" spans="1:5" x14ac:dyDescent="0.3">
      <c r="A149" s="13" t="s">
        <v>137</v>
      </c>
      <c r="B149" s="11"/>
      <c r="C149" s="11">
        <v>149</v>
      </c>
      <c r="D149" s="11"/>
      <c r="E149" s="11">
        <v>149</v>
      </c>
    </row>
    <row r="150" spans="1:5" x14ac:dyDescent="0.3">
      <c r="A150" s="14" t="s">
        <v>122</v>
      </c>
      <c r="B150" s="11"/>
      <c r="C150" s="11">
        <v>149</v>
      </c>
      <c r="D150" s="11"/>
      <c r="E150" s="11">
        <v>149</v>
      </c>
    </row>
    <row r="151" spans="1:5" x14ac:dyDescent="0.3">
      <c r="A151" s="13" t="s">
        <v>127</v>
      </c>
      <c r="B151" s="11">
        <v>8170</v>
      </c>
      <c r="C151" s="11">
        <v>10159</v>
      </c>
      <c r="D151" s="11"/>
      <c r="E151" s="11">
        <v>18329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A0322-7BA7-4951-8ECD-1AAB093DC6A2}">
  <dimension ref="A3:G20"/>
  <sheetViews>
    <sheetView workbookViewId="0">
      <selection activeCell="Q14" sqref="Q14"/>
    </sheetView>
  </sheetViews>
  <sheetFormatPr defaultRowHeight="14.4" x14ac:dyDescent="0.3"/>
  <cols>
    <col min="1" max="1" width="12.88671875" bestFit="1" customWidth="1"/>
    <col min="2" max="2" width="15.5546875" bestFit="1" customWidth="1"/>
    <col min="3" max="3" width="5.33203125" bestFit="1" customWidth="1"/>
    <col min="4" max="6" width="5" bestFit="1" customWidth="1"/>
    <col min="7" max="8" width="10.77734375" bestFit="1" customWidth="1"/>
  </cols>
  <sheetData>
    <row r="3" spans="1:7" x14ac:dyDescent="0.3">
      <c r="A3" s="12" t="s">
        <v>124</v>
      </c>
      <c r="B3" s="12" t="s">
        <v>128</v>
      </c>
    </row>
    <row r="4" spans="1:7" x14ac:dyDescent="0.3">
      <c r="A4" s="12" t="s">
        <v>125</v>
      </c>
      <c r="B4" t="s">
        <v>104</v>
      </c>
      <c r="C4" t="s">
        <v>106</v>
      </c>
      <c r="D4" t="s">
        <v>101</v>
      </c>
      <c r="E4" t="s">
        <v>102</v>
      </c>
      <c r="F4" t="s">
        <v>103</v>
      </c>
      <c r="G4" t="s">
        <v>127</v>
      </c>
    </row>
    <row r="5" spans="1:7" x14ac:dyDescent="0.3">
      <c r="A5" s="13" t="s">
        <v>138</v>
      </c>
      <c r="B5" s="11"/>
      <c r="C5" s="11"/>
      <c r="D5" s="11"/>
      <c r="E5" s="11">
        <v>189</v>
      </c>
      <c r="F5" s="11">
        <v>182</v>
      </c>
      <c r="G5" s="11">
        <v>371</v>
      </c>
    </row>
    <row r="6" spans="1:7" x14ac:dyDescent="0.3">
      <c r="A6" s="14" t="s">
        <v>99</v>
      </c>
      <c r="B6" s="11"/>
      <c r="C6" s="11"/>
      <c r="D6" s="11"/>
      <c r="E6" s="11"/>
      <c r="F6" s="11">
        <v>182</v>
      </c>
      <c r="G6" s="11">
        <v>182</v>
      </c>
    </row>
    <row r="7" spans="1:7" x14ac:dyDescent="0.3">
      <c r="A7" s="14" t="s">
        <v>100</v>
      </c>
      <c r="B7" s="11"/>
      <c r="C7" s="11"/>
      <c r="D7" s="11"/>
      <c r="E7" s="11">
        <v>189</v>
      </c>
      <c r="F7" s="11"/>
      <c r="G7" s="11">
        <v>189</v>
      </c>
    </row>
    <row r="8" spans="1:7" x14ac:dyDescent="0.3">
      <c r="A8" s="13" t="s">
        <v>139</v>
      </c>
      <c r="B8" s="11">
        <v>820</v>
      </c>
      <c r="C8" s="11">
        <v>476</v>
      </c>
      <c r="D8" s="11">
        <v>1941</v>
      </c>
      <c r="E8" s="11">
        <v>644</v>
      </c>
      <c r="F8" s="11">
        <v>329</v>
      </c>
      <c r="G8" s="11">
        <v>4210</v>
      </c>
    </row>
    <row r="9" spans="1:7" x14ac:dyDescent="0.3">
      <c r="A9" s="14" t="s">
        <v>99</v>
      </c>
      <c r="B9" s="11">
        <v>327</v>
      </c>
      <c r="C9" s="11">
        <v>155</v>
      </c>
      <c r="D9" s="11">
        <v>660</v>
      </c>
      <c r="E9" s="11">
        <v>155</v>
      </c>
      <c r="F9" s="11">
        <v>173</v>
      </c>
      <c r="G9" s="11">
        <v>1470</v>
      </c>
    </row>
    <row r="10" spans="1:7" x14ac:dyDescent="0.3">
      <c r="A10" s="14" t="s">
        <v>100</v>
      </c>
      <c r="B10" s="11">
        <v>493</v>
      </c>
      <c r="C10" s="11">
        <v>321</v>
      </c>
      <c r="D10" s="11">
        <v>1281</v>
      </c>
      <c r="E10" s="11">
        <v>489</v>
      </c>
      <c r="F10" s="11">
        <v>156</v>
      </c>
      <c r="G10" s="11">
        <v>2740</v>
      </c>
    </row>
    <row r="11" spans="1:7" x14ac:dyDescent="0.3">
      <c r="A11" s="13" t="s">
        <v>140</v>
      </c>
      <c r="B11" s="11">
        <v>1924</v>
      </c>
      <c r="C11" s="11">
        <v>866</v>
      </c>
      <c r="D11" s="11">
        <v>1495</v>
      </c>
      <c r="E11" s="11">
        <v>1937</v>
      </c>
      <c r="F11" s="11">
        <v>1892</v>
      </c>
      <c r="G11" s="11">
        <v>8114</v>
      </c>
    </row>
    <row r="12" spans="1:7" x14ac:dyDescent="0.3">
      <c r="A12" s="14" t="s">
        <v>99</v>
      </c>
      <c r="B12" s="11">
        <v>786</v>
      </c>
      <c r="C12" s="11">
        <v>116</v>
      </c>
      <c r="D12" s="11">
        <v>1091</v>
      </c>
      <c r="E12" s="11">
        <v>770</v>
      </c>
      <c r="F12" s="11">
        <v>953</v>
      </c>
      <c r="G12" s="11">
        <v>3716</v>
      </c>
    </row>
    <row r="13" spans="1:7" x14ac:dyDescent="0.3">
      <c r="A13" s="14" t="s">
        <v>100</v>
      </c>
      <c r="B13" s="11">
        <v>1138</v>
      </c>
      <c r="C13" s="11">
        <v>750</v>
      </c>
      <c r="D13" s="11">
        <v>404</v>
      </c>
      <c r="E13" s="11">
        <v>1167</v>
      </c>
      <c r="F13" s="11">
        <v>939</v>
      </c>
      <c r="G13" s="11">
        <v>4398</v>
      </c>
    </row>
    <row r="14" spans="1:7" x14ac:dyDescent="0.3">
      <c r="A14" s="13" t="s">
        <v>141</v>
      </c>
      <c r="B14" s="11">
        <v>667</v>
      </c>
      <c r="C14" s="11">
        <v>894</v>
      </c>
      <c r="D14" s="11">
        <v>1653</v>
      </c>
      <c r="E14" s="11">
        <v>606</v>
      </c>
      <c r="F14" s="11">
        <v>656</v>
      </c>
      <c r="G14" s="11">
        <v>4476</v>
      </c>
    </row>
    <row r="15" spans="1:7" x14ac:dyDescent="0.3">
      <c r="A15" s="14" t="s">
        <v>99</v>
      </c>
      <c r="B15" s="11">
        <v>99</v>
      </c>
      <c r="C15" s="11">
        <v>506</v>
      </c>
      <c r="D15" s="11">
        <v>973</v>
      </c>
      <c r="E15" s="11">
        <v>396</v>
      </c>
      <c r="F15" s="11">
        <v>290</v>
      </c>
      <c r="G15" s="11">
        <v>2264</v>
      </c>
    </row>
    <row r="16" spans="1:7" x14ac:dyDescent="0.3">
      <c r="A16" s="14" t="s">
        <v>100</v>
      </c>
      <c r="B16" s="11">
        <v>568</v>
      </c>
      <c r="C16" s="11">
        <v>388</v>
      </c>
      <c r="D16" s="11">
        <v>680</v>
      </c>
      <c r="E16" s="11">
        <v>210</v>
      </c>
      <c r="F16" s="11">
        <v>366</v>
      </c>
      <c r="G16" s="11">
        <v>2212</v>
      </c>
    </row>
    <row r="17" spans="1:7" x14ac:dyDescent="0.3">
      <c r="A17" s="13" t="s">
        <v>142</v>
      </c>
      <c r="B17" s="11">
        <v>196</v>
      </c>
      <c r="C17" s="11">
        <v>69</v>
      </c>
      <c r="D17" s="11">
        <v>468</v>
      </c>
      <c r="E17" s="11">
        <v>225</v>
      </c>
      <c r="F17" s="11">
        <v>200</v>
      </c>
      <c r="G17" s="11">
        <v>1158</v>
      </c>
    </row>
    <row r="18" spans="1:7" x14ac:dyDescent="0.3">
      <c r="A18" s="14" t="s">
        <v>99</v>
      </c>
      <c r="B18" s="11">
        <v>150</v>
      </c>
      <c r="C18" s="11"/>
      <c r="D18" s="11">
        <v>195</v>
      </c>
      <c r="E18" s="11">
        <v>70</v>
      </c>
      <c r="F18" s="11">
        <v>123</v>
      </c>
      <c r="G18" s="11">
        <v>538</v>
      </c>
    </row>
    <row r="19" spans="1:7" x14ac:dyDescent="0.3">
      <c r="A19" s="14" t="s">
        <v>100</v>
      </c>
      <c r="B19" s="11">
        <v>46</v>
      </c>
      <c r="C19" s="11">
        <v>69</v>
      </c>
      <c r="D19" s="11">
        <v>273</v>
      </c>
      <c r="E19" s="11">
        <v>155</v>
      </c>
      <c r="F19" s="11">
        <v>77</v>
      </c>
      <c r="G19" s="11">
        <v>620</v>
      </c>
    </row>
    <row r="20" spans="1:7" x14ac:dyDescent="0.3">
      <c r="A20" s="13" t="s">
        <v>127</v>
      </c>
      <c r="B20" s="11">
        <v>3607</v>
      </c>
      <c r="C20" s="11">
        <v>2305</v>
      </c>
      <c r="D20" s="11">
        <v>5557</v>
      </c>
      <c r="E20" s="11">
        <v>3601</v>
      </c>
      <c r="F20" s="11">
        <v>3259</v>
      </c>
      <c r="G20" s="11">
        <v>18329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0142D-C050-4FA5-B838-29D9708F053D}">
  <dimension ref="A3:H13"/>
  <sheetViews>
    <sheetView workbookViewId="0">
      <selection activeCell="L23" sqref="L23"/>
    </sheetView>
  </sheetViews>
  <sheetFormatPr defaultRowHeight="14.4" x14ac:dyDescent="0.3"/>
  <cols>
    <col min="1" max="1" width="15.44140625" bestFit="1" customWidth="1"/>
    <col min="2" max="2" width="15.5546875" bestFit="1" customWidth="1"/>
    <col min="3" max="3" width="8.88671875" bestFit="1" customWidth="1"/>
    <col min="4" max="6" width="8.44140625" bestFit="1" customWidth="1"/>
    <col min="7" max="7" width="7" bestFit="1" customWidth="1"/>
    <col min="8" max="8" width="10.77734375" bestFit="1" customWidth="1"/>
    <col min="9" max="9" width="10.44140625" bestFit="1" customWidth="1"/>
    <col min="10" max="10" width="4.6640625" bestFit="1" customWidth="1"/>
    <col min="11" max="11" width="13.21875" bestFit="1" customWidth="1"/>
    <col min="12" max="12" width="10.44140625" bestFit="1" customWidth="1"/>
    <col min="13" max="13" width="13.21875" bestFit="1" customWidth="1"/>
    <col min="14" max="14" width="10.77734375" bestFit="1" customWidth="1"/>
  </cols>
  <sheetData>
    <row r="3" spans="1:8" x14ac:dyDescent="0.3">
      <c r="A3" s="12" t="s">
        <v>145</v>
      </c>
      <c r="B3" s="12" t="s">
        <v>128</v>
      </c>
    </row>
    <row r="4" spans="1:8" x14ac:dyDescent="0.3">
      <c r="A4" s="12" t="s">
        <v>125</v>
      </c>
      <c r="B4" t="s">
        <v>138</v>
      </c>
      <c r="C4" t="s">
        <v>139</v>
      </c>
      <c r="D4" t="s">
        <v>140</v>
      </c>
      <c r="E4" t="s">
        <v>141</v>
      </c>
      <c r="F4" t="s">
        <v>142</v>
      </c>
      <c r="G4" t="s">
        <v>126</v>
      </c>
      <c r="H4" t="s">
        <v>127</v>
      </c>
    </row>
    <row r="5" spans="1:8" x14ac:dyDescent="0.3">
      <c r="A5" s="13" t="s">
        <v>99</v>
      </c>
      <c r="B5" s="11">
        <v>1</v>
      </c>
      <c r="C5" s="11">
        <v>9</v>
      </c>
      <c r="D5" s="11">
        <v>28</v>
      </c>
      <c r="E5" s="11">
        <v>23</v>
      </c>
      <c r="F5" s="11">
        <v>8</v>
      </c>
      <c r="G5" s="11"/>
      <c r="H5" s="11">
        <v>69</v>
      </c>
    </row>
    <row r="6" spans="1:8" x14ac:dyDescent="0.3">
      <c r="A6" s="14" t="s">
        <v>143</v>
      </c>
      <c r="B6" s="11"/>
      <c r="C6" s="11"/>
      <c r="D6" s="11">
        <v>2</v>
      </c>
      <c r="E6" s="11">
        <v>13</v>
      </c>
      <c r="F6" s="11">
        <v>8</v>
      </c>
      <c r="G6" s="11"/>
      <c r="H6" s="11">
        <v>23</v>
      </c>
    </row>
    <row r="7" spans="1:8" x14ac:dyDescent="0.3">
      <c r="A7" s="14" t="s">
        <v>144</v>
      </c>
      <c r="B7" s="11">
        <v>1</v>
      </c>
      <c r="C7" s="11">
        <v>9</v>
      </c>
      <c r="D7" s="11">
        <v>26</v>
      </c>
      <c r="E7" s="11">
        <v>10</v>
      </c>
      <c r="F7" s="11"/>
      <c r="G7" s="11"/>
      <c r="H7" s="11">
        <v>46</v>
      </c>
    </row>
    <row r="8" spans="1:8" x14ac:dyDescent="0.3">
      <c r="A8" s="13" t="s">
        <v>100</v>
      </c>
      <c r="B8" s="11">
        <v>1</v>
      </c>
      <c r="C8" s="11">
        <v>17</v>
      </c>
      <c r="D8" s="11">
        <v>34</v>
      </c>
      <c r="E8" s="11">
        <v>23</v>
      </c>
      <c r="F8" s="11">
        <v>9</v>
      </c>
      <c r="G8" s="11"/>
      <c r="H8" s="11">
        <v>84</v>
      </c>
    </row>
    <row r="9" spans="1:8" x14ac:dyDescent="0.3">
      <c r="A9" s="14" t="s">
        <v>143</v>
      </c>
      <c r="B9" s="11"/>
      <c r="C9" s="11"/>
      <c r="D9" s="11">
        <v>2</v>
      </c>
      <c r="E9" s="11">
        <v>14</v>
      </c>
      <c r="F9" s="11">
        <v>9</v>
      </c>
      <c r="G9" s="11"/>
      <c r="H9" s="11">
        <v>25</v>
      </c>
    </row>
    <row r="10" spans="1:8" x14ac:dyDescent="0.3">
      <c r="A10" s="14" t="s">
        <v>144</v>
      </c>
      <c r="B10" s="11">
        <v>1</v>
      </c>
      <c r="C10" s="11">
        <v>17</v>
      </c>
      <c r="D10" s="11">
        <v>32</v>
      </c>
      <c r="E10" s="11">
        <v>9</v>
      </c>
      <c r="F10" s="11"/>
      <c r="G10" s="11"/>
      <c r="H10" s="11">
        <v>59</v>
      </c>
    </row>
    <row r="11" spans="1:8" x14ac:dyDescent="0.3">
      <c r="A11" s="13" t="s">
        <v>126</v>
      </c>
      <c r="B11" s="11"/>
      <c r="C11" s="11"/>
      <c r="D11" s="11"/>
      <c r="E11" s="11"/>
      <c r="F11" s="11"/>
      <c r="G11" s="11"/>
      <c r="H11" s="11"/>
    </row>
    <row r="12" spans="1:8" x14ac:dyDescent="0.3">
      <c r="A12" s="14" t="s">
        <v>126</v>
      </c>
      <c r="B12" s="11"/>
      <c r="C12" s="11"/>
      <c r="D12" s="11"/>
      <c r="E12" s="11"/>
      <c r="F12" s="11"/>
      <c r="G12" s="11"/>
      <c r="H12" s="11"/>
    </row>
    <row r="13" spans="1:8" x14ac:dyDescent="0.3">
      <c r="A13" s="13" t="s">
        <v>127</v>
      </c>
      <c r="B13" s="11">
        <v>2</v>
      </c>
      <c r="C13" s="11">
        <v>26</v>
      </c>
      <c r="D13" s="11">
        <v>62</v>
      </c>
      <c r="E13" s="11">
        <v>46</v>
      </c>
      <c r="F13" s="11">
        <v>17</v>
      </c>
      <c r="G13" s="11"/>
      <c r="H13" s="11">
        <v>153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CAB88-E3BF-4746-919A-63942342ACC7}">
  <dimension ref="D1:AE158"/>
  <sheetViews>
    <sheetView tabSelected="1" workbookViewId="0">
      <selection activeCell="N3" sqref="N3"/>
    </sheetView>
  </sheetViews>
  <sheetFormatPr defaultRowHeight="14.4" x14ac:dyDescent="0.3"/>
  <cols>
    <col min="1" max="3" width="8.88671875" style="4"/>
    <col min="4" max="4" width="9.6640625" style="2" customWidth="1"/>
    <col min="5" max="5" width="19.5546875" style="2" customWidth="1"/>
    <col min="6" max="6" width="13.77734375" style="2" customWidth="1"/>
    <col min="7" max="7" width="17" style="2" customWidth="1"/>
    <col min="8" max="8" width="11.88671875" style="2" customWidth="1"/>
    <col min="9" max="10" width="12.109375" style="2" customWidth="1"/>
    <col min="11" max="11" width="15.21875" style="2" customWidth="1"/>
    <col min="12" max="13" width="11.6640625" style="1" customWidth="1"/>
    <col min="14" max="14" width="12.33203125" style="1" customWidth="1"/>
    <col min="15" max="15" width="8.88671875" style="4"/>
    <col min="16" max="16" width="13.33203125" style="4" customWidth="1"/>
    <col min="17" max="17" width="10.44140625" style="4" customWidth="1"/>
    <col min="18" max="16384" width="8.88671875" style="4"/>
  </cols>
  <sheetData>
    <row r="1" spans="4:31" x14ac:dyDescent="0.3">
      <c r="D1" s="18"/>
      <c r="E1" s="18"/>
      <c r="F1" s="18"/>
      <c r="G1" s="18"/>
      <c r="H1" s="18"/>
      <c r="I1" s="18"/>
      <c r="J1" s="18"/>
      <c r="K1" s="18"/>
      <c r="L1" s="18"/>
      <c r="M1" s="18"/>
      <c r="N1" s="18"/>
    </row>
    <row r="2" spans="4:31" ht="31.2" x14ac:dyDescent="0.6">
      <c r="D2" s="18"/>
      <c r="E2" s="18"/>
      <c r="F2" s="18"/>
      <c r="G2" s="19" t="s">
        <v>147</v>
      </c>
      <c r="H2" s="18"/>
      <c r="I2" s="18"/>
      <c r="J2" s="18"/>
      <c r="K2" s="18"/>
      <c r="L2" s="18"/>
      <c r="M2" s="18"/>
      <c r="N2" s="18"/>
    </row>
    <row r="3" spans="4:31" x14ac:dyDescent="0.3">
      <c r="D3" s="18"/>
      <c r="E3" s="18"/>
      <c r="F3" s="18"/>
      <c r="G3" s="18"/>
      <c r="H3" s="18"/>
      <c r="I3" s="18"/>
      <c r="J3" s="18"/>
      <c r="K3" s="18"/>
      <c r="L3" s="18"/>
      <c r="M3" s="18"/>
      <c r="N3" s="18"/>
    </row>
    <row r="4" spans="4:31" x14ac:dyDescent="0.3">
      <c r="D4" s="21"/>
      <c r="E4" s="21"/>
      <c r="F4" s="21"/>
      <c r="G4" s="21"/>
      <c r="H4" s="21"/>
      <c r="I4" s="21"/>
      <c r="J4" s="21"/>
      <c r="K4" s="21"/>
      <c r="L4" s="21"/>
      <c r="M4" s="21"/>
      <c r="N4" s="21"/>
    </row>
    <row r="5" spans="4:31" x14ac:dyDescent="0.3">
      <c r="D5" s="20" t="s">
        <v>0</v>
      </c>
      <c r="E5" s="20" t="s">
        <v>1</v>
      </c>
      <c r="F5" s="20" t="s">
        <v>6</v>
      </c>
      <c r="G5" s="20" t="s">
        <v>7</v>
      </c>
      <c r="H5" s="20" t="s">
        <v>2</v>
      </c>
      <c r="I5" s="20" t="s">
        <v>3</v>
      </c>
      <c r="J5" s="20" t="s">
        <v>4</v>
      </c>
      <c r="K5" s="20" t="s">
        <v>120</v>
      </c>
      <c r="L5" s="20" t="s">
        <v>5</v>
      </c>
      <c r="M5" s="20" t="s">
        <v>117</v>
      </c>
      <c r="N5" s="20" t="s">
        <v>118</v>
      </c>
    </row>
    <row r="6" spans="4:31" x14ac:dyDescent="0.3">
      <c r="D6" s="2">
        <v>1001</v>
      </c>
      <c r="E6" s="2" t="s">
        <v>8</v>
      </c>
      <c r="F6" s="2" t="s">
        <v>99</v>
      </c>
      <c r="G6" s="2" t="s">
        <v>101</v>
      </c>
      <c r="H6" s="2">
        <v>90</v>
      </c>
      <c r="I6" s="2">
        <v>65</v>
      </c>
      <c r="J6" s="3">
        <f>SUM(H6:I6)</f>
        <v>155</v>
      </c>
      <c r="K6" s="3">
        <f t="shared" ref="K6:K37" si="0">AVERAGE(H6:I6)</f>
        <v>77.5</v>
      </c>
      <c r="L6" s="1" t="str">
        <f>IF(AVERAGE(H6:I6)&gt;=90,"A",IF(AVERAGE(H6:I6)&gt;=75,"B",IF(AVERAGE(H6:I6)&gt;=56,"C",IF(AVERAGE(H6:I6)&gt;=41,"D","E"))))</f>
        <v>B</v>
      </c>
      <c r="M6" s="5" t="str">
        <f>IF(AND(H6&gt;=41,I6&gt;=42),"Pass","Fail")</f>
        <v>Pass</v>
      </c>
      <c r="N6" s="1" t="str">
        <f t="shared" ref="N6:N37" si="1">IF(K6&gt;=90,"1st Rank",IF(K6&gt;=75,"2nd Rank",IF(K6&gt;=56,"3rd Rank",IF(K6&gt;=41,"4th Rank","5th Rank"))))</f>
        <v>2nd Rank</v>
      </c>
    </row>
    <row r="7" spans="4:31" x14ac:dyDescent="0.3">
      <c r="D7" s="2">
        <v>1005</v>
      </c>
      <c r="E7" s="2" t="s">
        <v>9</v>
      </c>
      <c r="F7" s="2" t="s">
        <v>100</v>
      </c>
      <c r="G7" s="2" t="s">
        <v>102</v>
      </c>
      <c r="H7" s="2">
        <v>98</v>
      </c>
      <c r="I7" s="2">
        <v>91</v>
      </c>
      <c r="J7" s="3">
        <f t="shared" ref="J7:J9" si="2">SUM(H7:I7)</f>
        <v>189</v>
      </c>
      <c r="K7" s="3">
        <f t="shared" si="0"/>
        <v>94.5</v>
      </c>
      <c r="L7" s="1" t="str">
        <f t="shared" ref="L7:L70" si="3">IF(AVERAGE(H7:I7)&gt;=90,"A",IF(AVERAGE(H7:I7)&gt;=75,"B",IF(AVERAGE(H7:I7)&gt;=56,"C",IF(AVERAGE(H7:I7)&gt;=41,"D","E"))))</f>
        <v>A</v>
      </c>
      <c r="M7" s="5" t="str">
        <f t="shared" ref="M7:M70" si="4">IF(AND(H7&gt;=41,I7&gt;=42),"Pass","Fail")</f>
        <v>Pass</v>
      </c>
      <c r="N7" s="1" t="str">
        <f t="shared" si="1"/>
        <v>1st Rank</v>
      </c>
    </row>
    <row r="8" spans="4:31" x14ac:dyDescent="0.3">
      <c r="D8" s="2">
        <v>1006</v>
      </c>
      <c r="E8" s="2" t="s">
        <v>10</v>
      </c>
      <c r="F8" s="2" t="s">
        <v>99</v>
      </c>
      <c r="G8" s="2" t="s">
        <v>103</v>
      </c>
      <c r="H8" s="2">
        <v>92</v>
      </c>
      <c r="I8" s="2">
        <v>90</v>
      </c>
      <c r="J8" s="3">
        <f t="shared" si="2"/>
        <v>182</v>
      </c>
      <c r="K8" s="3">
        <f t="shared" si="0"/>
        <v>91</v>
      </c>
      <c r="L8" s="1" t="str">
        <f t="shared" si="3"/>
        <v>A</v>
      </c>
      <c r="M8" s="5" t="str">
        <f t="shared" si="4"/>
        <v>Pass</v>
      </c>
      <c r="N8" s="1" t="str">
        <f t="shared" si="1"/>
        <v>1st Rank</v>
      </c>
    </row>
    <row r="9" spans="4:31" x14ac:dyDescent="0.3">
      <c r="D9" s="2">
        <v>1102</v>
      </c>
      <c r="E9" s="2" t="s">
        <v>11</v>
      </c>
      <c r="F9" s="2" t="s">
        <v>99</v>
      </c>
      <c r="G9" s="2" t="s">
        <v>101</v>
      </c>
      <c r="H9" s="2">
        <v>99</v>
      </c>
      <c r="I9" s="2">
        <v>75</v>
      </c>
      <c r="J9" s="3">
        <f t="shared" si="2"/>
        <v>174</v>
      </c>
      <c r="K9" s="3">
        <f t="shared" si="0"/>
        <v>87</v>
      </c>
      <c r="L9" s="1" t="str">
        <f t="shared" si="3"/>
        <v>B</v>
      </c>
      <c r="M9" s="5" t="str">
        <f t="shared" si="4"/>
        <v>Pass</v>
      </c>
      <c r="N9" s="1" t="str">
        <f t="shared" si="1"/>
        <v>2nd Rank</v>
      </c>
    </row>
    <row r="10" spans="4:31" x14ac:dyDescent="0.3">
      <c r="D10" s="2">
        <v>1009</v>
      </c>
      <c r="E10" s="2" t="s">
        <v>12</v>
      </c>
      <c r="F10" s="2" t="s">
        <v>100</v>
      </c>
      <c r="G10" s="2" t="s">
        <v>104</v>
      </c>
      <c r="H10" s="2">
        <v>35</v>
      </c>
      <c r="I10" s="2">
        <v>77</v>
      </c>
      <c r="J10" s="3">
        <f t="shared" ref="J10:J41" si="5">SUM(H10:I10)</f>
        <v>112</v>
      </c>
      <c r="K10" s="3">
        <f t="shared" si="0"/>
        <v>56</v>
      </c>
      <c r="L10" s="1" t="str">
        <f t="shared" si="3"/>
        <v>C</v>
      </c>
      <c r="M10" s="5" t="str">
        <f t="shared" si="4"/>
        <v>Fail</v>
      </c>
      <c r="N10" s="1" t="str">
        <f t="shared" si="1"/>
        <v>3rd Rank</v>
      </c>
    </row>
    <row r="11" spans="4:31" x14ac:dyDescent="0.3">
      <c r="D11" s="2">
        <v>1125</v>
      </c>
      <c r="E11" s="2" t="s">
        <v>13</v>
      </c>
      <c r="F11" s="2" t="s">
        <v>99</v>
      </c>
      <c r="G11" s="2" t="s">
        <v>103</v>
      </c>
      <c r="H11" s="2">
        <v>82</v>
      </c>
      <c r="I11" s="2">
        <v>45</v>
      </c>
      <c r="J11" s="3">
        <f t="shared" si="5"/>
        <v>127</v>
      </c>
      <c r="K11" s="3">
        <f t="shared" si="0"/>
        <v>63.5</v>
      </c>
      <c r="L11" s="1" t="str">
        <f t="shared" si="3"/>
        <v>C</v>
      </c>
      <c r="M11" s="5" t="str">
        <f t="shared" si="4"/>
        <v>Pass</v>
      </c>
      <c r="N11" s="1" t="str">
        <f t="shared" si="1"/>
        <v>3rd Rank</v>
      </c>
    </row>
    <row r="12" spans="4:31" x14ac:dyDescent="0.3">
      <c r="D12" s="2">
        <v>1003</v>
      </c>
      <c r="E12" s="2" t="s">
        <v>14</v>
      </c>
      <c r="F12" s="2" t="s">
        <v>100</v>
      </c>
      <c r="G12" s="2" t="s">
        <v>102</v>
      </c>
      <c r="H12" s="2">
        <v>87</v>
      </c>
      <c r="I12" s="2">
        <v>42</v>
      </c>
      <c r="J12" s="3">
        <f t="shared" si="5"/>
        <v>129</v>
      </c>
      <c r="K12" s="3">
        <f t="shared" si="0"/>
        <v>64.5</v>
      </c>
      <c r="L12" s="1" t="str">
        <f t="shared" si="3"/>
        <v>C</v>
      </c>
      <c r="M12" s="5" t="str">
        <f t="shared" si="4"/>
        <v>Pass</v>
      </c>
      <c r="N12" s="1" t="str">
        <f t="shared" si="1"/>
        <v>3rd Rank</v>
      </c>
    </row>
    <row r="13" spans="4:31" x14ac:dyDescent="0.3">
      <c r="D13" s="2">
        <v>1126</v>
      </c>
      <c r="E13" s="2" t="s">
        <v>15</v>
      </c>
      <c r="F13" s="2" t="s">
        <v>100</v>
      </c>
      <c r="G13" s="2" t="s">
        <v>101</v>
      </c>
      <c r="H13" s="2">
        <v>40</v>
      </c>
      <c r="I13" s="2">
        <v>40</v>
      </c>
      <c r="J13" s="3">
        <f t="shared" si="5"/>
        <v>80</v>
      </c>
      <c r="K13" s="3">
        <f t="shared" si="0"/>
        <v>40</v>
      </c>
      <c r="L13" s="1" t="str">
        <f t="shared" si="3"/>
        <v>E</v>
      </c>
      <c r="M13" s="5" t="str">
        <f t="shared" si="4"/>
        <v>Fail</v>
      </c>
      <c r="N13" s="1" t="str">
        <f t="shared" si="1"/>
        <v>5th Rank</v>
      </c>
    </row>
    <row r="14" spans="4:31" x14ac:dyDescent="0.3">
      <c r="D14" s="2">
        <v>1130</v>
      </c>
      <c r="E14" s="2" t="s">
        <v>16</v>
      </c>
      <c r="F14" s="2" t="s">
        <v>100</v>
      </c>
      <c r="G14" s="2" t="s">
        <v>101</v>
      </c>
      <c r="H14" s="2">
        <v>44</v>
      </c>
      <c r="I14" s="2">
        <v>46</v>
      </c>
      <c r="J14" s="3">
        <f t="shared" si="5"/>
        <v>90</v>
      </c>
      <c r="K14" s="3">
        <f t="shared" si="0"/>
        <v>45</v>
      </c>
      <c r="L14" s="1" t="str">
        <f t="shared" si="3"/>
        <v>D</v>
      </c>
      <c r="M14" s="5" t="str">
        <f t="shared" si="4"/>
        <v>Pass</v>
      </c>
      <c r="N14" s="1" t="str">
        <f t="shared" si="1"/>
        <v>4th Rank</v>
      </c>
      <c r="AA14" s="8"/>
      <c r="AB14" s="8"/>
      <c r="AC14" s="8"/>
      <c r="AD14" s="8"/>
      <c r="AE14" s="8"/>
    </row>
    <row r="15" spans="4:31" x14ac:dyDescent="0.3">
      <c r="D15" s="2">
        <v>1215</v>
      </c>
      <c r="E15" s="2" t="s">
        <v>17</v>
      </c>
      <c r="F15" s="2" t="s">
        <v>100</v>
      </c>
      <c r="G15" s="2" t="s">
        <v>106</v>
      </c>
      <c r="H15" s="2">
        <v>50</v>
      </c>
      <c r="I15" s="2">
        <v>85</v>
      </c>
      <c r="J15" s="3">
        <f t="shared" si="5"/>
        <v>135</v>
      </c>
      <c r="K15" s="3">
        <f t="shared" si="0"/>
        <v>67.5</v>
      </c>
      <c r="L15" s="1" t="str">
        <f t="shared" si="3"/>
        <v>C</v>
      </c>
      <c r="M15" s="5" t="str">
        <f t="shared" si="4"/>
        <v>Pass</v>
      </c>
      <c r="N15" s="1" t="str">
        <f t="shared" si="1"/>
        <v>3rd Rank</v>
      </c>
      <c r="P15" s="6" t="s">
        <v>107</v>
      </c>
      <c r="Q15" s="6" t="s">
        <v>5</v>
      </c>
      <c r="AB15" s="9"/>
    </row>
    <row r="16" spans="4:31" x14ac:dyDescent="0.3">
      <c r="D16" s="2">
        <v>1426</v>
      </c>
      <c r="E16" s="2" t="s">
        <v>18</v>
      </c>
      <c r="F16" s="2" t="s">
        <v>99</v>
      </c>
      <c r="G16" s="2" t="s">
        <v>101</v>
      </c>
      <c r="H16" s="2">
        <v>53</v>
      </c>
      <c r="I16" s="2">
        <v>55</v>
      </c>
      <c r="J16" s="3">
        <f t="shared" si="5"/>
        <v>108</v>
      </c>
      <c r="K16" s="3">
        <f t="shared" si="0"/>
        <v>54</v>
      </c>
      <c r="L16" s="1" t="str">
        <f t="shared" si="3"/>
        <v>D</v>
      </c>
      <c r="M16" s="5" t="str">
        <f t="shared" si="4"/>
        <v>Pass</v>
      </c>
      <c r="N16" s="1" t="str">
        <f t="shared" si="1"/>
        <v>4th Rank</v>
      </c>
      <c r="P16" s="7" t="s">
        <v>108</v>
      </c>
      <c r="Q16" s="7" t="s">
        <v>109</v>
      </c>
      <c r="AB16" s="9"/>
    </row>
    <row r="17" spans="4:30" x14ac:dyDescent="0.3">
      <c r="D17" s="2">
        <v>1108</v>
      </c>
      <c r="E17" s="2" t="s">
        <v>19</v>
      </c>
      <c r="F17" s="2" t="s">
        <v>99</v>
      </c>
      <c r="G17" s="2" t="s">
        <v>102</v>
      </c>
      <c r="H17" s="2">
        <v>65</v>
      </c>
      <c r="I17" s="2">
        <v>62</v>
      </c>
      <c r="J17" s="3">
        <f t="shared" si="5"/>
        <v>127</v>
      </c>
      <c r="K17" s="3">
        <f t="shared" si="0"/>
        <v>63.5</v>
      </c>
      <c r="L17" s="1" t="str">
        <f t="shared" si="3"/>
        <v>C</v>
      </c>
      <c r="M17" s="5" t="str">
        <f t="shared" si="4"/>
        <v>Pass</v>
      </c>
      <c r="N17" s="1" t="str">
        <f t="shared" si="1"/>
        <v>3rd Rank</v>
      </c>
      <c r="P17" s="7" t="s">
        <v>111</v>
      </c>
      <c r="Q17" s="7" t="s">
        <v>110</v>
      </c>
      <c r="Y17" s="8"/>
      <c r="AB17" s="9"/>
    </row>
    <row r="18" spans="4:30" x14ac:dyDescent="0.3">
      <c r="D18" s="2">
        <v>1003</v>
      </c>
      <c r="E18" s="2" t="s">
        <v>20</v>
      </c>
      <c r="F18" s="2" t="s">
        <v>99</v>
      </c>
      <c r="G18" s="2" t="s">
        <v>102</v>
      </c>
      <c r="H18" s="2">
        <v>69</v>
      </c>
      <c r="I18" s="2">
        <v>35</v>
      </c>
      <c r="J18" s="3">
        <f t="shared" si="5"/>
        <v>104</v>
      </c>
      <c r="K18" s="3">
        <f t="shared" si="0"/>
        <v>52</v>
      </c>
      <c r="L18" s="1" t="str">
        <f t="shared" si="3"/>
        <v>D</v>
      </c>
      <c r="M18" s="5" t="str">
        <f t="shared" si="4"/>
        <v>Fail</v>
      </c>
      <c r="N18" s="1" t="str">
        <f t="shared" si="1"/>
        <v>4th Rank</v>
      </c>
      <c r="P18" s="7" t="s">
        <v>115</v>
      </c>
      <c r="Q18" s="7" t="s">
        <v>116</v>
      </c>
      <c r="X18" s="8"/>
      <c r="Y18" s="8"/>
      <c r="Z18" s="8"/>
      <c r="AA18" s="8"/>
      <c r="AB18" s="9"/>
    </row>
    <row r="19" spans="4:30" x14ac:dyDescent="0.3">
      <c r="D19" s="2">
        <v>1135</v>
      </c>
      <c r="E19" s="2" t="s">
        <v>21</v>
      </c>
      <c r="F19" s="2" t="s">
        <v>100</v>
      </c>
      <c r="G19" s="2" t="s">
        <v>103</v>
      </c>
      <c r="H19" s="2">
        <v>70</v>
      </c>
      <c r="I19" s="2">
        <v>49</v>
      </c>
      <c r="J19" s="3">
        <f t="shared" si="5"/>
        <v>119</v>
      </c>
      <c r="K19" s="3">
        <f t="shared" si="0"/>
        <v>59.5</v>
      </c>
      <c r="L19" s="1" t="str">
        <f t="shared" si="3"/>
        <v>C</v>
      </c>
      <c r="M19" s="5" t="str">
        <f t="shared" si="4"/>
        <v>Pass</v>
      </c>
      <c r="N19" s="1" t="str">
        <f t="shared" si="1"/>
        <v>3rd Rank</v>
      </c>
      <c r="P19" s="7" t="s">
        <v>113</v>
      </c>
      <c r="Q19" s="7" t="s">
        <v>114</v>
      </c>
      <c r="X19" s="8"/>
      <c r="Y19" s="8"/>
      <c r="Z19" s="8"/>
      <c r="AA19" s="8"/>
      <c r="AB19" s="9"/>
    </row>
    <row r="20" spans="4:30" x14ac:dyDescent="0.3">
      <c r="D20" s="2">
        <v>1147</v>
      </c>
      <c r="E20" s="2" t="s">
        <v>22</v>
      </c>
      <c r="F20" s="2" t="s">
        <v>100</v>
      </c>
      <c r="G20" s="2" t="s">
        <v>104</v>
      </c>
      <c r="H20" s="2">
        <v>77</v>
      </c>
      <c r="I20" s="2">
        <v>56</v>
      </c>
      <c r="J20" s="3">
        <f t="shared" si="5"/>
        <v>133</v>
      </c>
      <c r="K20" s="3">
        <f t="shared" si="0"/>
        <v>66.5</v>
      </c>
      <c r="L20" s="1" t="str">
        <f t="shared" si="3"/>
        <v>C</v>
      </c>
      <c r="M20" s="5" t="str">
        <f t="shared" si="4"/>
        <v>Pass</v>
      </c>
      <c r="N20" s="1" t="str">
        <f t="shared" si="1"/>
        <v>3rd Rank</v>
      </c>
      <c r="P20" s="7" t="s">
        <v>112</v>
      </c>
      <c r="Q20" s="7" t="s">
        <v>105</v>
      </c>
      <c r="X20" s="8"/>
      <c r="Y20" s="8"/>
      <c r="Z20" s="8"/>
      <c r="AA20" s="8"/>
      <c r="AB20" s="10"/>
      <c r="AC20" s="8"/>
    </row>
    <row r="21" spans="4:30" x14ac:dyDescent="0.3">
      <c r="D21" s="2">
        <v>1165</v>
      </c>
      <c r="E21" s="2" t="s">
        <v>17</v>
      </c>
      <c r="F21" s="2" t="s">
        <v>100</v>
      </c>
      <c r="G21" s="2" t="s">
        <v>104</v>
      </c>
      <c r="H21" s="2">
        <v>36</v>
      </c>
      <c r="I21" s="2">
        <v>58</v>
      </c>
      <c r="J21" s="3">
        <f t="shared" si="5"/>
        <v>94</v>
      </c>
      <c r="K21" s="3">
        <f t="shared" si="0"/>
        <v>47</v>
      </c>
      <c r="L21" s="1" t="str">
        <f t="shared" si="3"/>
        <v>D</v>
      </c>
      <c r="M21" s="5" t="str">
        <f t="shared" si="4"/>
        <v>Fail</v>
      </c>
      <c r="N21" s="1" t="str">
        <f t="shared" si="1"/>
        <v>4th Rank</v>
      </c>
      <c r="X21" s="8"/>
      <c r="Y21" s="8"/>
      <c r="Z21" s="8"/>
      <c r="AA21" s="8"/>
      <c r="AB21" s="10"/>
      <c r="AC21" s="8"/>
    </row>
    <row r="22" spans="4:30" x14ac:dyDescent="0.3">
      <c r="D22" s="2">
        <v>1312</v>
      </c>
      <c r="E22" s="2" t="s">
        <v>23</v>
      </c>
      <c r="F22" s="2" t="s">
        <v>100</v>
      </c>
      <c r="G22" s="2" t="s">
        <v>101</v>
      </c>
      <c r="H22" s="2">
        <v>25</v>
      </c>
      <c r="I22" s="2">
        <v>75</v>
      </c>
      <c r="J22" s="3">
        <f t="shared" si="5"/>
        <v>100</v>
      </c>
      <c r="K22" s="3">
        <f t="shared" si="0"/>
        <v>50</v>
      </c>
      <c r="L22" s="1" t="str">
        <f t="shared" si="3"/>
        <v>D</v>
      </c>
      <c r="M22" s="5" t="str">
        <f t="shared" si="4"/>
        <v>Fail</v>
      </c>
      <c r="N22" s="1" t="str">
        <f t="shared" si="1"/>
        <v>4th Rank</v>
      </c>
      <c r="Y22" s="8"/>
      <c r="Z22" s="8"/>
      <c r="AA22" s="8"/>
      <c r="AB22" s="10"/>
      <c r="AC22" s="8"/>
      <c r="AD22" s="8"/>
    </row>
    <row r="23" spans="4:30" x14ac:dyDescent="0.3">
      <c r="D23" s="2">
        <v>1542</v>
      </c>
      <c r="E23" s="2" t="s">
        <v>24</v>
      </c>
      <c r="F23" s="2" t="s">
        <v>99</v>
      </c>
      <c r="G23" s="2" t="s">
        <v>103</v>
      </c>
      <c r="H23" s="2">
        <v>56</v>
      </c>
      <c r="I23" s="2">
        <v>79</v>
      </c>
      <c r="J23" s="3">
        <f t="shared" si="5"/>
        <v>135</v>
      </c>
      <c r="K23" s="3">
        <f t="shared" si="0"/>
        <v>67.5</v>
      </c>
      <c r="L23" s="1" t="str">
        <f t="shared" si="3"/>
        <v>C</v>
      </c>
      <c r="M23" s="5" t="str">
        <f t="shared" si="4"/>
        <v>Pass</v>
      </c>
      <c r="N23" s="1" t="str">
        <f t="shared" si="1"/>
        <v>3rd Rank</v>
      </c>
    </row>
    <row r="24" spans="4:30" x14ac:dyDescent="0.3">
      <c r="D24" s="2">
        <v>1139</v>
      </c>
      <c r="E24" s="2" t="s">
        <v>25</v>
      </c>
      <c r="F24" s="2" t="s">
        <v>100</v>
      </c>
      <c r="G24" s="2" t="s">
        <v>102</v>
      </c>
      <c r="H24" s="2">
        <v>59</v>
      </c>
      <c r="I24" s="2">
        <v>70</v>
      </c>
      <c r="J24" s="3">
        <f t="shared" si="5"/>
        <v>129</v>
      </c>
      <c r="K24" s="3">
        <f t="shared" si="0"/>
        <v>64.5</v>
      </c>
      <c r="L24" s="1" t="str">
        <f t="shared" si="3"/>
        <v>C</v>
      </c>
      <c r="M24" s="5" t="str">
        <f t="shared" si="4"/>
        <v>Pass</v>
      </c>
      <c r="N24" s="1" t="str">
        <f t="shared" si="1"/>
        <v>3rd Rank</v>
      </c>
    </row>
    <row r="25" spans="4:30" x14ac:dyDescent="0.3">
      <c r="D25" s="2">
        <v>1542</v>
      </c>
      <c r="E25" s="2" t="s">
        <v>26</v>
      </c>
      <c r="F25" s="2" t="s">
        <v>100</v>
      </c>
      <c r="G25" s="2" t="s">
        <v>102</v>
      </c>
      <c r="H25" s="2">
        <v>35</v>
      </c>
      <c r="I25" s="2">
        <v>43</v>
      </c>
      <c r="J25" s="3">
        <f t="shared" si="5"/>
        <v>78</v>
      </c>
      <c r="K25" s="3">
        <f t="shared" si="0"/>
        <v>39</v>
      </c>
      <c r="L25" s="1" t="str">
        <f t="shared" si="3"/>
        <v>E</v>
      </c>
      <c r="M25" s="5" t="str">
        <f t="shared" si="4"/>
        <v>Fail</v>
      </c>
      <c r="N25" s="1" t="str">
        <f t="shared" si="1"/>
        <v>5th Rank</v>
      </c>
    </row>
    <row r="26" spans="4:30" x14ac:dyDescent="0.3">
      <c r="D26" s="2">
        <v>1199</v>
      </c>
      <c r="E26" s="2" t="s">
        <v>27</v>
      </c>
      <c r="F26" s="2" t="s">
        <v>100</v>
      </c>
      <c r="G26" s="2" t="s">
        <v>102</v>
      </c>
      <c r="H26" s="2">
        <v>33</v>
      </c>
      <c r="I26" s="2">
        <v>44</v>
      </c>
      <c r="J26" s="3">
        <f t="shared" si="5"/>
        <v>77</v>
      </c>
      <c r="K26" s="3">
        <f t="shared" si="0"/>
        <v>38.5</v>
      </c>
      <c r="L26" s="1" t="str">
        <f t="shared" si="3"/>
        <v>E</v>
      </c>
      <c r="M26" s="5" t="str">
        <f t="shared" si="4"/>
        <v>Fail</v>
      </c>
      <c r="N26" s="1" t="str">
        <f t="shared" si="1"/>
        <v>5th Rank</v>
      </c>
    </row>
    <row r="27" spans="4:30" x14ac:dyDescent="0.3">
      <c r="D27" s="2">
        <v>1019</v>
      </c>
      <c r="E27" s="2" t="s">
        <v>28</v>
      </c>
      <c r="F27" s="2" t="s">
        <v>99</v>
      </c>
      <c r="G27" s="2" t="s">
        <v>104</v>
      </c>
      <c r="H27" s="2">
        <v>90</v>
      </c>
      <c r="I27" s="2">
        <v>49</v>
      </c>
      <c r="J27" s="3">
        <f t="shared" si="5"/>
        <v>139</v>
      </c>
      <c r="K27" s="3">
        <f t="shared" si="0"/>
        <v>69.5</v>
      </c>
      <c r="L27" s="1" t="str">
        <f t="shared" si="3"/>
        <v>C</v>
      </c>
      <c r="M27" s="5" t="str">
        <f t="shared" si="4"/>
        <v>Pass</v>
      </c>
      <c r="N27" s="1" t="str">
        <f t="shared" si="1"/>
        <v>3rd Rank</v>
      </c>
    </row>
    <row r="28" spans="4:30" x14ac:dyDescent="0.3">
      <c r="D28" s="2">
        <v>1395</v>
      </c>
      <c r="E28" s="2" t="s">
        <v>29</v>
      </c>
      <c r="F28" s="2" t="s">
        <v>99</v>
      </c>
      <c r="G28" s="2" t="s">
        <v>101</v>
      </c>
      <c r="H28" s="2">
        <v>90</v>
      </c>
      <c r="I28" s="2">
        <v>87</v>
      </c>
      <c r="J28" s="3">
        <f t="shared" si="5"/>
        <v>177</v>
      </c>
      <c r="K28" s="3">
        <f t="shared" si="0"/>
        <v>88.5</v>
      </c>
      <c r="L28" s="1" t="str">
        <f t="shared" si="3"/>
        <v>B</v>
      </c>
      <c r="M28" s="5" t="str">
        <f t="shared" si="4"/>
        <v>Pass</v>
      </c>
      <c r="N28" s="1" t="str">
        <f t="shared" si="1"/>
        <v>2nd Rank</v>
      </c>
    </row>
    <row r="29" spans="4:30" x14ac:dyDescent="0.3">
      <c r="D29" s="2">
        <v>1310</v>
      </c>
      <c r="E29" s="2" t="s">
        <v>30</v>
      </c>
      <c r="F29" s="2" t="s">
        <v>99</v>
      </c>
      <c r="G29" s="2" t="s">
        <v>101</v>
      </c>
      <c r="H29" s="2">
        <v>51</v>
      </c>
      <c r="I29" s="2">
        <v>55</v>
      </c>
      <c r="J29" s="3">
        <f t="shared" si="5"/>
        <v>106</v>
      </c>
      <c r="K29" s="3">
        <f t="shared" si="0"/>
        <v>53</v>
      </c>
      <c r="L29" s="1" t="str">
        <f t="shared" si="3"/>
        <v>D</v>
      </c>
      <c r="M29" s="5" t="str">
        <f t="shared" si="4"/>
        <v>Pass</v>
      </c>
      <c r="N29" s="1" t="str">
        <f t="shared" si="1"/>
        <v>4th Rank</v>
      </c>
    </row>
    <row r="30" spans="4:30" x14ac:dyDescent="0.3">
      <c r="D30" s="2">
        <v>1547</v>
      </c>
      <c r="E30" s="2" t="s">
        <v>31</v>
      </c>
      <c r="F30" s="2" t="s">
        <v>99</v>
      </c>
      <c r="G30" s="2" t="s">
        <v>106</v>
      </c>
      <c r="H30" s="2">
        <v>55</v>
      </c>
      <c r="I30" s="2">
        <v>52</v>
      </c>
      <c r="J30" s="3">
        <f t="shared" si="5"/>
        <v>107</v>
      </c>
      <c r="K30" s="3">
        <f t="shared" si="0"/>
        <v>53.5</v>
      </c>
      <c r="L30" s="1" t="str">
        <f t="shared" si="3"/>
        <v>D</v>
      </c>
      <c r="M30" s="5" t="str">
        <f t="shared" si="4"/>
        <v>Pass</v>
      </c>
      <c r="N30" s="1" t="str">
        <f t="shared" si="1"/>
        <v>4th Rank</v>
      </c>
    </row>
    <row r="31" spans="4:30" x14ac:dyDescent="0.3">
      <c r="D31" s="2">
        <v>1310</v>
      </c>
      <c r="E31" s="2" t="s">
        <v>32</v>
      </c>
      <c r="F31" s="2" t="s">
        <v>100</v>
      </c>
      <c r="G31" s="2" t="s">
        <v>104</v>
      </c>
      <c r="H31" s="2">
        <v>57</v>
      </c>
      <c r="I31" s="2">
        <v>56</v>
      </c>
      <c r="J31" s="3">
        <f t="shared" si="5"/>
        <v>113</v>
      </c>
      <c r="K31" s="3">
        <f t="shared" si="0"/>
        <v>56.5</v>
      </c>
      <c r="L31" s="1" t="str">
        <f t="shared" si="3"/>
        <v>C</v>
      </c>
      <c r="M31" s="5" t="str">
        <f t="shared" si="4"/>
        <v>Pass</v>
      </c>
      <c r="N31" s="1" t="str">
        <f t="shared" si="1"/>
        <v>3rd Rank</v>
      </c>
    </row>
    <row r="32" spans="4:30" x14ac:dyDescent="0.3">
      <c r="D32" s="2">
        <v>1520</v>
      </c>
      <c r="E32" s="2" t="s">
        <v>33</v>
      </c>
      <c r="F32" s="2" t="s">
        <v>100</v>
      </c>
      <c r="G32" s="2" t="s">
        <v>103</v>
      </c>
      <c r="H32" s="2">
        <v>45</v>
      </c>
      <c r="I32" s="2">
        <v>90</v>
      </c>
      <c r="J32" s="3">
        <f t="shared" si="5"/>
        <v>135</v>
      </c>
      <c r="K32" s="3">
        <f t="shared" si="0"/>
        <v>67.5</v>
      </c>
      <c r="L32" s="1" t="str">
        <f t="shared" si="3"/>
        <v>C</v>
      </c>
      <c r="M32" s="5" t="str">
        <f t="shared" si="4"/>
        <v>Pass</v>
      </c>
      <c r="N32" s="1" t="str">
        <f t="shared" si="1"/>
        <v>3rd Rank</v>
      </c>
    </row>
    <row r="33" spans="4:14" x14ac:dyDescent="0.3">
      <c r="D33" s="2">
        <v>1129</v>
      </c>
      <c r="E33" s="2" t="s">
        <v>34</v>
      </c>
      <c r="F33" s="2" t="s">
        <v>100</v>
      </c>
      <c r="G33" s="2" t="s">
        <v>103</v>
      </c>
      <c r="H33" s="2">
        <v>44</v>
      </c>
      <c r="I33" s="2">
        <v>47</v>
      </c>
      <c r="J33" s="3">
        <f t="shared" si="5"/>
        <v>91</v>
      </c>
      <c r="K33" s="3">
        <f t="shared" si="0"/>
        <v>45.5</v>
      </c>
      <c r="L33" s="1" t="str">
        <f t="shared" si="3"/>
        <v>D</v>
      </c>
      <c r="M33" s="5" t="str">
        <f t="shared" si="4"/>
        <v>Pass</v>
      </c>
      <c r="N33" s="1" t="str">
        <f t="shared" si="1"/>
        <v>4th Rank</v>
      </c>
    </row>
    <row r="34" spans="4:14" x14ac:dyDescent="0.3">
      <c r="D34" s="2">
        <v>1145</v>
      </c>
      <c r="E34" s="2" t="s">
        <v>32</v>
      </c>
      <c r="F34" s="2" t="s">
        <v>100</v>
      </c>
      <c r="G34" s="2" t="s">
        <v>103</v>
      </c>
      <c r="H34" s="2">
        <v>42</v>
      </c>
      <c r="I34" s="2">
        <v>43</v>
      </c>
      <c r="J34" s="3">
        <f t="shared" si="5"/>
        <v>85</v>
      </c>
      <c r="K34" s="3">
        <f t="shared" si="0"/>
        <v>42.5</v>
      </c>
      <c r="L34" s="1" t="str">
        <f t="shared" si="3"/>
        <v>D</v>
      </c>
      <c r="M34" s="5" t="str">
        <f t="shared" si="4"/>
        <v>Pass</v>
      </c>
      <c r="N34" s="1" t="str">
        <f t="shared" si="1"/>
        <v>4th Rank</v>
      </c>
    </row>
    <row r="35" spans="4:14" x14ac:dyDescent="0.3">
      <c r="D35" s="2">
        <v>1187</v>
      </c>
      <c r="E35" s="2" t="s">
        <v>35</v>
      </c>
      <c r="F35" s="2" t="s">
        <v>100</v>
      </c>
      <c r="G35" s="2" t="s">
        <v>106</v>
      </c>
      <c r="H35" s="2">
        <v>36</v>
      </c>
      <c r="I35" s="2">
        <v>33</v>
      </c>
      <c r="J35" s="3">
        <f t="shared" si="5"/>
        <v>69</v>
      </c>
      <c r="K35" s="3">
        <f t="shared" si="0"/>
        <v>34.5</v>
      </c>
      <c r="L35" s="1" t="str">
        <f t="shared" si="3"/>
        <v>E</v>
      </c>
      <c r="M35" s="5" t="str">
        <f t="shared" si="4"/>
        <v>Fail</v>
      </c>
      <c r="N35" s="1" t="str">
        <f t="shared" si="1"/>
        <v>5th Rank</v>
      </c>
    </row>
    <row r="36" spans="4:14" x14ac:dyDescent="0.3">
      <c r="D36" s="2">
        <v>1136</v>
      </c>
      <c r="E36" s="2" t="s">
        <v>36</v>
      </c>
      <c r="F36" s="2" t="s">
        <v>100</v>
      </c>
      <c r="G36" s="2" t="s">
        <v>102</v>
      </c>
      <c r="H36" s="2">
        <v>39</v>
      </c>
      <c r="I36" s="2">
        <v>68</v>
      </c>
      <c r="J36" s="3">
        <f t="shared" si="5"/>
        <v>107</v>
      </c>
      <c r="K36" s="3">
        <f t="shared" si="0"/>
        <v>53.5</v>
      </c>
      <c r="L36" s="1" t="str">
        <f t="shared" si="3"/>
        <v>D</v>
      </c>
      <c r="M36" s="5" t="str">
        <f t="shared" si="4"/>
        <v>Fail</v>
      </c>
      <c r="N36" s="1" t="str">
        <f t="shared" si="1"/>
        <v>4th Rank</v>
      </c>
    </row>
    <row r="37" spans="4:14" x14ac:dyDescent="0.3">
      <c r="D37" s="2">
        <v>1216</v>
      </c>
      <c r="E37" s="2" t="s">
        <v>37</v>
      </c>
      <c r="F37" s="2" t="s">
        <v>100</v>
      </c>
      <c r="G37" s="2" t="s">
        <v>101</v>
      </c>
      <c r="H37" s="2">
        <v>91</v>
      </c>
      <c r="I37" s="2">
        <v>73</v>
      </c>
      <c r="J37" s="3">
        <f t="shared" si="5"/>
        <v>164</v>
      </c>
      <c r="K37" s="3">
        <f t="shared" si="0"/>
        <v>82</v>
      </c>
      <c r="L37" s="1" t="str">
        <f t="shared" si="3"/>
        <v>B</v>
      </c>
      <c r="M37" s="5" t="str">
        <f t="shared" si="4"/>
        <v>Pass</v>
      </c>
      <c r="N37" s="1" t="str">
        <f t="shared" si="1"/>
        <v>2nd Rank</v>
      </c>
    </row>
    <row r="38" spans="4:14" x14ac:dyDescent="0.3">
      <c r="D38" s="2">
        <v>1219</v>
      </c>
      <c r="E38" s="2" t="s">
        <v>38</v>
      </c>
      <c r="F38" s="2" t="s">
        <v>100</v>
      </c>
      <c r="G38" s="2" t="s">
        <v>101</v>
      </c>
      <c r="H38" s="2">
        <v>30</v>
      </c>
      <c r="I38" s="2">
        <v>77</v>
      </c>
      <c r="J38" s="3">
        <f t="shared" si="5"/>
        <v>107</v>
      </c>
      <c r="K38" s="3">
        <f t="shared" ref="K38:K69" si="6">AVERAGE(H38:I38)</f>
        <v>53.5</v>
      </c>
      <c r="L38" s="1" t="str">
        <f t="shared" si="3"/>
        <v>D</v>
      </c>
      <c r="M38" s="5" t="str">
        <f t="shared" si="4"/>
        <v>Fail</v>
      </c>
      <c r="N38" s="1" t="str">
        <f t="shared" ref="N38:N69" si="7">IF(K38&gt;=90,"1st Rank",IF(K38&gt;=75,"2nd Rank",IF(K38&gt;=56,"3rd Rank",IF(K38&gt;=41,"4th Rank","5th Rank"))))</f>
        <v>4th Rank</v>
      </c>
    </row>
    <row r="39" spans="4:14" x14ac:dyDescent="0.3">
      <c r="D39" s="2">
        <v>1325</v>
      </c>
      <c r="E39" s="2" t="s">
        <v>39</v>
      </c>
      <c r="F39" s="2" t="s">
        <v>100</v>
      </c>
      <c r="G39" s="2" t="s">
        <v>104</v>
      </c>
      <c r="H39" s="2">
        <v>69</v>
      </c>
      <c r="I39" s="2">
        <v>56</v>
      </c>
      <c r="J39" s="3">
        <f t="shared" si="5"/>
        <v>125</v>
      </c>
      <c r="K39" s="3">
        <f t="shared" si="6"/>
        <v>62.5</v>
      </c>
      <c r="L39" s="1" t="str">
        <f t="shared" si="3"/>
        <v>C</v>
      </c>
      <c r="M39" s="5" t="str">
        <f t="shared" si="4"/>
        <v>Pass</v>
      </c>
      <c r="N39" s="1" t="str">
        <f t="shared" si="7"/>
        <v>3rd Rank</v>
      </c>
    </row>
    <row r="40" spans="4:14" x14ac:dyDescent="0.3">
      <c r="D40" s="2">
        <v>1356</v>
      </c>
      <c r="E40" s="2" t="s">
        <v>14</v>
      </c>
      <c r="F40" s="2" t="s">
        <v>100</v>
      </c>
      <c r="G40" s="2" t="s">
        <v>103</v>
      </c>
      <c r="H40" s="2">
        <v>65</v>
      </c>
      <c r="I40" s="2">
        <v>55</v>
      </c>
      <c r="J40" s="3">
        <f t="shared" si="5"/>
        <v>120</v>
      </c>
      <c r="K40" s="3">
        <f t="shared" si="6"/>
        <v>60</v>
      </c>
      <c r="L40" s="1" t="str">
        <f t="shared" si="3"/>
        <v>C</v>
      </c>
      <c r="M40" s="5" t="str">
        <f t="shared" si="4"/>
        <v>Pass</v>
      </c>
      <c r="N40" s="1" t="str">
        <f t="shared" si="7"/>
        <v>3rd Rank</v>
      </c>
    </row>
    <row r="41" spans="4:14" x14ac:dyDescent="0.3">
      <c r="D41" s="2">
        <v>1423</v>
      </c>
      <c r="E41" s="2" t="s">
        <v>22</v>
      </c>
      <c r="F41" s="2" t="s">
        <v>100</v>
      </c>
      <c r="G41" s="2" t="s">
        <v>102</v>
      </c>
      <c r="H41" s="2">
        <v>71</v>
      </c>
      <c r="I41" s="2">
        <v>56</v>
      </c>
      <c r="J41" s="3">
        <f t="shared" si="5"/>
        <v>127</v>
      </c>
      <c r="K41" s="3">
        <f t="shared" si="6"/>
        <v>63.5</v>
      </c>
      <c r="L41" s="1" t="str">
        <f t="shared" si="3"/>
        <v>C</v>
      </c>
      <c r="M41" s="5" t="str">
        <f t="shared" si="4"/>
        <v>Pass</v>
      </c>
      <c r="N41" s="1" t="str">
        <f t="shared" si="7"/>
        <v>3rd Rank</v>
      </c>
    </row>
    <row r="42" spans="4:14" x14ac:dyDescent="0.3">
      <c r="D42" s="2">
        <v>1659</v>
      </c>
      <c r="E42" s="2" t="s">
        <v>40</v>
      </c>
      <c r="F42" s="2" t="s">
        <v>100</v>
      </c>
      <c r="G42" s="2" t="s">
        <v>102</v>
      </c>
      <c r="H42" s="2">
        <v>72</v>
      </c>
      <c r="I42" s="2">
        <v>55</v>
      </c>
      <c r="J42" s="3">
        <f t="shared" ref="J42:J73" si="8">SUM(H42:I42)</f>
        <v>127</v>
      </c>
      <c r="K42" s="3">
        <f t="shared" si="6"/>
        <v>63.5</v>
      </c>
      <c r="L42" s="1" t="str">
        <f t="shared" si="3"/>
        <v>C</v>
      </c>
      <c r="M42" s="5" t="str">
        <f t="shared" si="4"/>
        <v>Pass</v>
      </c>
      <c r="N42" s="1" t="str">
        <f t="shared" si="7"/>
        <v>3rd Rank</v>
      </c>
    </row>
    <row r="43" spans="4:14" x14ac:dyDescent="0.3">
      <c r="D43" s="2">
        <v>1746</v>
      </c>
      <c r="E43" s="2" t="s">
        <v>41</v>
      </c>
      <c r="F43" s="2" t="s">
        <v>99</v>
      </c>
      <c r="G43" s="2" t="s">
        <v>104</v>
      </c>
      <c r="H43" s="2">
        <v>84</v>
      </c>
      <c r="I43" s="2">
        <v>58</v>
      </c>
      <c r="J43" s="3">
        <f t="shared" si="8"/>
        <v>142</v>
      </c>
      <c r="K43" s="3">
        <f t="shared" si="6"/>
        <v>71</v>
      </c>
      <c r="L43" s="1" t="str">
        <f t="shared" si="3"/>
        <v>C</v>
      </c>
      <c r="M43" s="5" t="str">
        <f t="shared" si="4"/>
        <v>Pass</v>
      </c>
      <c r="N43" s="1" t="str">
        <f t="shared" si="7"/>
        <v>3rd Rank</v>
      </c>
    </row>
    <row r="44" spans="4:14" x14ac:dyDescent="0.3">
      <c r="D44" s="2">
        <v>1549</v>
      </c>
      <c r="E44" s="2" t="s">
        <v>18</v>
      </c>
      <c r="F44" s="2" t="s">
        <v>99</v>
      </c>
      <c r="G44" s="2" t="s">
        <v>101</v>
      </c>
      <c r="H44" s="2">
        <v>62</v>
      </c>
      <c r="I44" s="2">
        <v>40</v>
      </c>
      <c r="J44" s="3">
        <f t="shared" si="8"/>
        <v>102</v>
      </c>
      <c r="K44" s="3">
        <f t="shared" si="6"/>
        <v>51</v>
      </c>
      <c r="L44" s="1" t="str">
        <f t="shared" si="3"/>
        <v>D</v>
      </c>
      <c r="M44" s="5" t="str">
        <f t="shared" si="4"/>
        <v>Fail</v>
      </c>
      <c r="N44" s="1" t="str">
        <f t="shared" si="7"/>
        <v>4th Rank</v>
      </c>
    </row>
    <row r="45" spans="4:14" x14ac:dyDescent="0.3">
      <c r="D45" s="2">
        <v>1495</v>
      </c>
      <c r="E45" s="2" t="s">
        <v>11</v>
      </c>
      <c r="F45" s="2" t="s">
        <v>99</v>
      </c>
      <c r="G45" s="2" t="s">
        <v>101</v>
      </c>
      <c r="H45" s="2">
        <v>36</v>
      </c>
      <c r="I45" s="2">
        <v>12</v>
      </c>
      <c r="J45" s="3">
        <f t="shared" si="8"/>
        <v>48</v>
      </c>
      <c r="K45" s="3">
        <f t="shared" si="6"/>
        <v>24</v>
      </c>
      <c r="L45" s="1" t="str">
        <f t="shared" si="3"/>
        <v>E</v>
      </c>
      <c r="M45" s="5" t="str">
        <f t="shared" si="4"/>
        <v>Fail</v>
      </c>
      <c r="N45" s="1" t="str">
        <f t="shared" si="7"/>
        <v>5th Rank</v>
      </c>
    </row>
    <row r="46" spans="4:14" x14ac:dyDescent="0.3">
      <c r="D46" s="2">
        <v>1050</v>
      </c>
      <c r="E46" s="2" t="s">
        <v>20</v>
      </c>
      <c r="F46" s="2" t="s">
        <v>99</v>
      </c>
      <c r="G46" s="2" t="s">
        <v>104</v>
      </c>
      <c r="H46" s="2">
        <v>36</v>
      </c>
      <c r="I46" s="2">
        <v>44</v>
      </c>
      <c r="J46" s="3">
        <f t="shared" si="8"/>
        <v>80</v>
      </c>
      <c r="K46" s="3">
        <f t="shared" si="6"/>
        <v>40</v>
      </c>
      <c r="L46" s="1" t="str">
        <f t="shared" si="3"/>
        <v>E</v>
      </c>
      <c r="M46" s="5" t="str">
        <f t="shared" si="4"/>
        <v>Fail</v>
      </c>
      <c r="N46" s="1" t="str">
        <f t="shared" si="7"/>
        <v>5th Rank</v>
      </c>
    </row>
    <row r="47" spans="4:14" x14ac:dyDescent="0.3">
      <c r="D47" s="2">
        <v>1064</v>
      </c>
      <c r="E47" s="2" t="s">
        <v>42</v>
      </c>
      <c r="F47" s="2" t="s">
        <v>99</v>
      </c>
      <c r="G47" s="2" t="s">
        <v>104</v>
      </c>
      <c r="H47" s="2">
        <v>25</v>
      </c>
      <c r="I47" s="2">
        <v>45</v>
      </c>
      <c r="J47" s="3">
        <f t="shared" si="8"/>
        <v>70</v>
      </c>
      <c r="K47" s="3">
        <f t="shared" si="6"/>
        <v>35</v>
      </c>
      <c r="L47" s="1" t="str">
        <f t="shared" si="3"/>
        <v>E</v>
      </c>
      <c r="M47" s="5" t="str">
        <f t="shared" si="4"/>
        <v>Fail</v>
      </c>
      <c r="N47" s="1" t="str">
        <f t="shared" si="7"/>
        <v>5th Rank</v>
      </c>
    </row>
    <row r="48" spans="4:14" x14ac:dyDescent="0.3">
      <c r="D48" s="2">
        <v>1089</v>
      </c>
      <c r="E48" s="2" t="s">
        <v>43</v>
      </c>
      <c r="F48" s="2" t="s">
        <v>100</v>
      </c>
      <c r="G48" s="2" t="s">
        <v>104</v>
      </c>
      <c r="H48" s="2">
        <v>52</v>
      </c>
      <c r="I48" s="2">
        <v>48</v>
      </c>
      <c r="J48" s="3">
        <f t="shared" si="8"/>
        <v>100</v>
      </c>
      <c r="K48" s="3">
        <f t="shared" si="6"/>
        <v>50</v>
      </c>
      <c r="L48" s="1" t="str">
        <f t="shared" si="3"/>
        <v>D</v>
      </c>
      <c r="M48" s="5" t="str">
        <f t="shared" si="4"/>
        <v>Pass</v>
      </c>
      <c r="N48" s="1" t="str">
        <f t="shared" si="7"/>
        <v>4th Rank</v>
      </c>
    </row>
    <row r="49" spans="4:14" x14ac:dyDescent="0.3">
      <c r="D49" s="2">
        <v>1023</v>
      </c>
      <c r="E49" s="2" t="s">
        <v>44</v>
      </c>
      <c r="F49" s="2" t="s">
        <v>100</v>
      </c>
      <c r="G49" s="2" t="s">
        <v>102</v>
      </c>
      <c r="H49" s="2">
        <v>54</v>
      </c>
      <c r="I49" s="2">
        <v>49</v>
      </c>
      <c r="J49" s="3">
        <f t="shared" si="8"/>
        <v>103</v>
      </c>
      <c r="K49" s="3">
        <f t="shared" si="6"/>
        <v>51.5</v>
      </c>
      <c r="L49" s="1" t="str">
        <f t="shared" si="3"/>
        <v>D</v>
      </c>
      <c r="M49" s="5" t="str">
        <f t="shared" si="4"/>
        <v>Pass</v>
      </c>
      <c r="N49" s="1" t="str">
        <f t="shared" si="7"/>
        <v>4th Rank</v>
      </c>
    </row>
    <row r="50" spans="4:14" x14ac:dyDescent="0.3">
      <c r="D50" s="2">
        <v>1130</v>
      </c>
      <c r="E50" s="2" t="s">
        <v>45</v>
      </c>
      <c r="F50" s="2" t="s">
        <v>99</v>
      </c>
      <c r="G50" s="2" t="s">
        <v>103</v>
      </c>
      <c r="H50" s="2">
        <v>55</v>
      </c>
      <c r="I50" s="2">
        <v>43</v>
      </c>
      <c r="J50" s="3">
        <f t="shared" si="8"/>
        <v>98</v>
      </c>
      <c r="K50" s="3">
        <f t="shared" si="6"/>
        <v>49</v>
      </c>
      <c r="L50" s="1" t="str">
        <f t="shared" si="3"/>
        <v>D</v>
      </c>
      <c r="M50" s="5" t="str">
        <f t="shared" si="4"/>
        <v>Pass</v>
      </c>
      <c r="N50" s="1" t="str">
        <f t="shared" si="7"/>
        <v>4th Rank</v>
      </c>
    </row>
    <row r="51" spans="4:14" x14ac:dyDescent="0.3">
      <c r="D51" s="2">
        <v>1154</v>
      </c>
      <c r="E51" s="2" t="s">
        <v>15</v>
      </c>
      <c r="F51" s="2" t="s">
        <v>100</v>
      </c>
      <c r="G51" s="2" t="s">
        <v>106</v>
      </c>
      <c r="H51" s="2">
        <v>85</v>
      </c>
      <c r="I51" s="2">
        <v>47</v>
      </c>
      <c r="J51" s="3">
        <f t="shared" si="8"/>
        <v>132</v>
      </c>
      <c r="K51" s="3">
        <f t="shared" si="6"/>
        <v>66</v>
      </c>
      <c r="L51" s="1" t="str">
        <f t="shared" si="3"/>
        <v>C</v>
      </c>
      <c r="M51" s="5" t="str">
        <f t="shared" si="4"/>
        <v>Pass</v>
      </c>
      <c r="N51" s="1" t="str">
        <f t="shared" si="7"/>
        <v>3rd Rank</v>
      </c>
    </row>
    <row r="52" spans="4:14" x14ac:dyDescent="0.3">
      <c r="D52" s="2">
        <v>1126</v>
      </c>
      <c r="E52" s="2" t="s">
        <v>21</v>
      </c>
      <c r="F52" s="2" t="s">
        <v>100</v>
      </c>
      <c r="G52" s="2" t="s">
        <v>106</v>
      </c>
      <c r="H52" s="2">
        <v>75</v>
      </c>
      <c r="I52" s="2">
        <v>75</v>
      </c>
      <c r="J52" s="3">
        <f t="shared" si="8"/>
        <v>150</v>
      </c>
      <c r="K52" s="3">
        <f t="shared" si="6"/>
        <v>75</v>
      </c>
      <c r="L52" s="1" t="str">
        <f t="shared" si="3"/>
        <v>B</v>
      </c>
      <c r="M52" s="5" t="str">
        <f t="shared" si="4"/>
        <v>Pass</v>
      </c>
      <c r="N52" s="1" t="str">
        <f t="shared" si="7"/>
        <v>2nd Rank</v>
      </c>
    </row>
    <row r="53" spans="4:14" x14ac:dyDescent="0.3">
      <c r="D53" s="2">
        <v>1324</v>
      </c>
      <c r="E53" s="2" t="s">
        <v>46</v>
      </c>
      <c r="F53" s="2" t="s">
        <v>100</v>
      </c>
      <c r="G53" s="2" t="s">
        <v>101</v>
      </c>
      <c r="H53" s="2">
        <v>59</v>
      </c>
      <c r="I53" s="2">
        <v>77</v>
      </c>
      <c r="J53" s="3">
        <f t="shared" si="8"/>
        <v>136</v>
      </c>
      <c r="K53" s="3">
        <f t="shared" si="6"/>
        <v>68</v>
      </c>
      <c r="L53" s="1" t="str">
        <f t="shared" si="3"/>
        <v>C</v>
      </c>
      <c r="M53" s="5" t="str">
        <f>IF(AND(H53&gt;=41,I53&gt;=42),"Pass","Fail")</f>
        <v>Pass</v>
      </c>
      <c r="N53" s="1" t="str">
        <f t="shared" si="7"/>
        <v>3rd Rank</v>
      </c>
    </row>
    <row r="54" spans="4:14" x14ac:dyDescent="0.3">
      <c r="D54" s="2">
        <v>1065</v>
      </c>
      <c r="E54" s="2" t="s">
        <v>24</v>
      </c>
      <c r="F54" s="2" t="s">
        <v>99</v>
      </c>
      <c r="G54" s="2" t="s">
        <v>101</v>
      </c>
      <c r="H54" s="2">
        <v>72</v>
      </c>
      <c r="I54" s="2">
        <v>76</v>
      </c>
      <c r="J54" s="3">
        <f t="shared" si="8"/>
        <v>148</v>
      </c>
      <c r="K54" s="3">
        <f t="shared" si="6"/>
        <v>74</v>
      </c>
      <c r="L54" s="1" t="str">
        <f t="shared" si="3"/>
        <v>C</v>
      </c>
      <c r="M54" s="5" t="str">
        <f t="shared" si="4"/>
        <v>Pass</v>
      </c>
      <c r="N54" s="1" t="str">
        <f t="shared" si="7"/>
        <v>3rd Rank</v>
      </c>
    </row>
    <row r="55" spans="4:14" x14ac:dyDescent="0.3">
      <c r="D55" s="2">
        <v>1160</v>
      </c>
      <c r="E55" s="2" t="s">
        <v>47</v>
      </c>
      <c r="F55" s="2" t="s">
        <v>99</v>
      </c>
      <c r="G55" s="2" t="s">
        <v>101</v>
      </c>
      <c r="H55" s="2">
        <v>70</v>
      </c>
      <c r="I55" s="2">
        <v>84</v>
      </c>
      <c r="J55" s="3">
        <f t="shared" si="8"/>
        <v>154</v>
      </c>
      <c r="K55" s="3">
        <f t="shared" si="6"/>
        <v>77</v>
      </c>
      <c r="L55" s="1" t="str">
        <f t="shared" si="3"/>
        <v>B</v>
      </c>
      <c r="M55" s="5" t="str">
        <f t="shared" si="4"/>
        <v>Pass</v>
      </c>
      <c r="N55" s="1" t="str">
        <f t="shared" si="7"/>
        <v>2nd Rank</v>
      </c>
    </row>
    <row r="56" spans="4:14" x14ac:dyDescent="0.3">
      <c r="D56" s="2">
        <v>1984</v>
      </c>
      <c r="E56" s="2" t="s">
        <v>48</v>
      </c>
      <c r="F56" s="2" t="s">
        <v>99</v>
      </c>
      <c r="G56" s="2" t="s">
        <v>104</v>
      </c>
      <c r="H56" s="2">
        <v>66</v>
      </c>
      <c r="I56" s="2">
        <v>88</v>
      </c>
      <c r="J56" s="3">
        <f t="shared" si="8"/>
        <v>154</v>
      </c>
      <c r="K56" s="3">
        <f t="shared" si="6"/>
        <v>77</v>
      </c>
      <c r="L56" s="1" t="str">
        <f t="shared" si="3"/>
        <v>B</v>
      </c>
      <c r="M56" s="5" t="str">
        <f t="shared" si="4"/>
        <v>Pass</v>
      </c>
      <c r="N56" s="1" t="str">
        <f t="shared" si="7"/>
        <v>2nd Rank</v>
      </c>
    </row>
    <row r="57" spans="4:14" x14ac:dyDescent="0.3">
      <c r="D57" s="2">
        <v>1845</v>
      </c>
      <c r="E57" s="2" t="s">
        <v>44</v>
      </c>
      <c r="F57" s="2" t="s">
        <v>100</v>
      </c>
      <c r="G57" s="2" t="s">
        <v>103</v>
      </c>
      <c r="H57" s="2">
        <v>73</v>
      </c>
      <c r="I57" s="2">
        <v>83</v>
      </c>
      <c r="J57" s="3">
        <f t="shared" si="8"/>
        <v>156</v>
      </c>
      <c r="K57" s="3">
        <f t="shared" si="6"/>
        <v>78</v>
      </c>
      <c r="L57" s="1" t="str">
        <f t="shared" si="3"/>
        <v>B</v>
      </c>
      <c r="M57" s="5" t="str">
        <f t="shared" si="4"/>
        <v>Pass</v>
      </c>
      <c r="N57" s="1" t="str">
        <f t="shared" si="7"/>
        <v>2nd Rank</v>
      </c>
    </row>
    <row r="58" spans="4:14" x14ac:dyDescent="0.3">
      <c r="D58" s="2">
        <v>1867</v>
      </c>
      <c r="E58" s="2" t="s">
        <v>14</v>
      </c>
      <c r="F58" s="2" t="s">
        <v>100</v>
      </c>
      <c r="G58" s="2" t="s">
        <v>102</v>
      </c>
      <c r="H58" s="2">
        <v>84</v>
      </c>
      <c r="I58" s="2">
        <v>82</v>
      </c>
      <c r="J58" s="3">
        <f t="shared" si="8"/>
        <v>166</v>
      </c>
      <c r="K58" s="3">
        <f t="shared" si="6"/>
        <v>83</v>
      </c>
      <c r="L58" s="1" t="str">
        <f t="shared" si="3"/>
        <v>B</v>
      </c>
      <c r="M58" s="5" t="str">
        <f t="shared" si="4"/>
        <v>Pass</v>
      </c>
      <c r="N58" s="1" t="str">
        <f t="shared" si="7"/>
        <v>2nd Rank</v>
      </c>
    </row>
    <row r="59" spans="4:14" x14ac:dyDescent="0.3">
      <c r="D59" s="2">
        <v>1612</v>
      </c>
      <c r="E59" s="2" t="s">
        <v>22</v>
      </c>
      <c r="F59" s="2" t="s">
        <v>100</v>
      </c>
      <c r="G59" s="2" t="s">
        <v>106</v>
      </c>
      <c r="H59" s="2">
        <v>91</v>
      </c>
      <c r="I59" s="2">
        <v>80</v>
      </c>
      <c r="J59" s="3">
        <f t="shared" si="8"/>
        <v>171</v>
      </c>
      <c r="K59" s="3">
        <f t="shared" si="6"/>
        <v>85.5</v>
      </c>
      <c r="L59" s="1" t="str">
        <f t="shared" si="3"/>
        <v>B</v>
      </c>
      <c r="M59" s="5" t="str">
        <f t="shared" si="4"/>
        <v>Pass</v>
      </c>
      <c r="N59" s="1" t="str">
        <f t="shared" si="7"/>
        <v>2nd Rank</v>
      </c>
    </row>
    <row r="60" spans="4:14" x14ac:dyDescent="0.3">
      <c r="D60" s="2">
        <v>1532</v>
      </c>
      <c r="E60" s="2" t="s">
        <v>49</v>
      </c>
      <c r="F60" s="2" t="s">
        <v>99</v>
      </c>
      <c r="G60" s="2" t="s">
        <v>103</v>
      </c>
      <c r="H60" s="2">
        <v>92</v>
      </c>
      <c r="I60" s="2">
        <v>42</v>
      </c>
      <c r="J60" s="3">
        <f t="shared" si="8"/>
        <v>134</v>
      </c>
      <c r="K60" s="3">
        <f t="shared" si="6"/>
        <v>67</v>
      </c>
      <c r="L60" s="1" t="str">
        <f t="shared" si="3"/>
        <v>C</v>
      </c>
      <c r="M60" s="5" t="str">
        <f t="shared" si="4"/>
        <v>Pass</v>
      </c>
      <c r="N60" s="1" t="str">
        <f t="shared" si="7"/>
        <v>3rd Rank</v>
      </c>
    </row>
    <row r="61" spans="4:14" x14ac:dyDescent="0.3">
      <c r="D61" s="2">
        <v>1412</v>
      </c>
      <c r="E61" s="2" t="s">
        <v>50</v>
      </c>
      <c r="F61" s="2" t="s">
        <v>99</v>
      </c>
      <c r="G61" s="2" t="s">
        <v>101</v>
      </c>
      <c r="H61" s="2">
        <v>56</v>
      </c>
      <c r="I61" s="2">
        <v>35</v>
      </c>
      <c r="J61" s="3">
        <f t="shared" si="8"/>
        <v>91</v>
      </c>
      <c r="K61" s="3">
        <f t="shared" si="6"/>
        <v>45.5</v>
      </c>
      <c r="L61" s="1" t="str">
        <f t="shared" si="3"/>
        <v>D</v>
      </c>
      <c r="M61" s="5" t="str">
        <f t="shared" si="4"/>
        <v>Fail</v>
      </c>
      <c r="N61" s="1" t="str">
        <f t="shared" si="7"/>
        <v>4th Rank</v>
      </c>
    </row>
    <row r="62" spans="4:14" x14ac:dyDescent="0.3">
      <c r="D62" s="2">
        <v>1785</v>
      </c>
      <c r="E62" s="2" t="s">
        <v>51</v>
      </c>
      <c r="F62" s="2" t="s">
        <v>99</v>
      </c>
      <c r="G62" s="2" t="s">
        <v>102</v>
      </c>
      <c r="H62" s="2">
        <v>55</v>
      </c>
      <c r="I62" s="2">
        <v>30</v>
      </c>
      <c r="J62" s="3">
        <f t="shared" si="8"/>
        <v>85</v>
      </c>
      <c r="K62" s="3">
        <f t="shared" si="6"/>
        <v>42.5</v>
      </c>
      <c r="L62" s="1" t="str">
        <f t="shared" si="3"/>
        <v>D</v>
      </c>
      <c r="M62" s="5" t="str">
        <f t="shared" si="4"/>
        <v>Fail</v>
      </c>
      <c r="N62" s="1" t="str">
        <f t="shared" si="7"/>
        <v>4th Rank</v>
      </c>
    </row>
    <row r="63" spans="4:14" x14ac:dyDescent="0.3">
      <c r="D63" s="2">
        <v>1100</v>
      </c>
      <c r="E63" s="2" t="s">
        <v>31</v>
      </c>
      <c r="F63" s="2" t="s">
        <v>99</v>
      </c>
      <c r="G63" s="2" t="s">
        <v>101</v>
      </c>
      <c r="H63" s="2">
        <v>74</v>
      </c>
      <c r="I63" s="2">
        <v>20</v>
      </c>
      <c r="J63" s="3">
        <f t="shared" si="8"/>
        <v>94</v>
      </c>
      <c r="K63" s="3">
        <f t="shared" si="6"/>
        <v>47</v>
      </c>
      <c r="L63" s="1" t="str">
        <f t="shared" si="3"/>
        <v>D</v>
      </c>
      <c r="M63" s="5" t="str">
        <f t="shared" si="4"/>
        <v>Fail</v>
      </c>
      <c r="N63" s="1" t="str">
        <f t="shared" si="7"/>
        <v>4th Rank</v>
      </c>
    </row>
    <row r="64" spans="4:14" x14ac:dyDescent="0.3">
      <c r="D64" s="2">
        <v>1190</v>
      </c>
      <c r="E64" s="2" t="s">
        <v>52</v>
      </c>
      <c r="F64" s="2" t="s">
        <v>100</v>
      </c>
      <c r="G64" s="2" t="s">
        <v>101</v>
      </c>
      <c r="H64" s="2">
        <v>77</v>
      </c>
      <c r="I64" s="2">
        <v>22</v>
      </c>
      <c r="J64" s="3">
        <f t="shared" si="8"/>
        <v>99</v>
      </c>
      <c r="K64" s="3">
        <f t="shared" si="6"/>
        <v>49.5</v>
      </c>
      <c r="L64" s="1" t="str">
        <f t="shared" si="3"/>
        <v>D</v>
      </c>
      <c r="M64" s="5" t="str">
        <f t="shared" si="4"/>
        <v>Fail</v>
      </c>
      <c r="N64" s="1" t="str">
        <f t="shared" si="7"/>
        <v>4th Rank</v>
      </c>
    </row>
    <row r="65" spans="4:14" x14ac:dyDescent="0.3">
      <c r="D65" s="2">
        <v>1413</v>
      </c>
      <c r="E65" s="2" t="s">
        <v>53</v>
      </c>
      <c r="F65" s="2" t="s">
        <v>99</v>
      </c>
      <c r="G65" s="2" t="s">
        <v>101</v>
      </c>
      <c r="H65" s="2">
        <v>64</v>
      </c>
      <c r="I65" s="2">
        <v>33</v>
      </c>
      <c r="J65" s="3">
        <f t="shared" si="8"/>
        <v>97</v>
      </c>
      <c r="K65" s="3">
        <f t="shared" si="6"/>
        <v>48.5</v>
      </c>
      <c r="L65" s="1" t="str">
        <f t="shared" si="3"/>
        <v>D</v>
      </c>
      <c r="M65" s="5" t="str">
        <f t="shared" si="4"/>
        <v>Fail</v>
      </c>
      <c r="N65" s="1" t="str">
        <f t="shared" si="7"/>
        <v>4th Rank</v>
      </c>
    </row>
    <row r="66" spans="4:14" x14ac:dyDescent="0.3">
      <c r="D66" s="2">
        <v>1525</v>
      </c>
      <c r="E66" s="2" t="s">
        <v>47</v>
      </c>
      <c r="F66" s="2" t="s">
        <v>99</v>
      </c>
      <c r="G66" s="2" t="s">
        <v>106</v>
      </c>
      <c r="H66" s="2">
        <v>36</v>
      </c>
      <c r="I66" s="2">
        <v>62</v>
      </c>
      <c r="J66" s="3">
        <f t="shared" si="8"/>
        <v>98</v>
      </c>
      <c r="K66" s="3">
        <f t="shared" si="6"/>
        <v>49</v>
      </c>
      <c r="L66" s="1" t="str">
        <f t="shared" si="3"/>
        <v>D</v>
      </c>
      <c r="M66" s="5" t="str">
        <f t="shared" si="4"/>
        <v>Fail</v>
      </c>
      <c r="N66" s="1" t="str">
        <f t="shared" si="7"/>
        <v>4th Rank</v>
      </c>
    </row>
    <row r="67" spans="4:14" x14ac:dyDescent="0.3">
      <c r="D67" s="2">
        <v>1649</v>
      </c>
      <c r="E67" s="2" t="s">
        <v>54</v>
      </c>
      <c r="F67" s="2" t="s">
        <v>100</v>
      </c>
      <c r="G67" s="2" t="s">
        <v>101</v>
      </c>
      <c r="H67" s="2">
        <v>93</v>
      </c>
      <c r="I67" s="2">
        <v>60</v>
      </c>
      <c r="J67" s="3">
        <f t="shared" si="8"/>
        <v>153</v>
      </c>
      <c r="K67" s="3">
        <f t="shared" si="6"/>
        <v>76.5</v>
      </c>
      <c r="L67" s="1" t="str">
        <f t="shared" si="3"/>
        <v>B</v>
      </c>
      <c r="M67" s="5" t="str">
        <f t="shared" si="4"/>
        <v>Pass</v>
      </c>
      <c r="N67" s="1" t="str">
        <f t="shared" si="7"/>
        <v>2nd Rank</v>
      </c>
    </row>
    <row r="68" spans="4:14" x14ac:dyDescent="0.3">
      <c r="D68" s="2">
        <v>1898</v>
      </c>
      <c r="E68" s="2" t="s">
        <v>55</v>
      </c>
      <c r="F68" s="2" t="s">
        <v>99</v>
      </c>
      <c r="G68" s="2" t="s">
        <v>102</v>
      </c>
      <c r="H68" s="2">
        <v>40</v>
      </c>
      <c r="I68" s="2">
        <v>95</v>
      </c>
      <c r="J68" s="3">
        <f t="shared" si="8"/>
        <v>135</v>
      </c>
      <c r="K68" s="3">
        <f t="shared" si="6"/>
        <v>67.5</v>
      </c>
      <c r="L68" s="1" t="str">
        <f t="shared" si="3"/>
        <v>C</v>
      </c>
      <c r="M68" s="5" t="str">
        <f t="shared" si="4"/>
        <v>Fail</v>
      </c>
      <c r="N68" s="1" t="str">
        <f t="shared" si="7"/>
        <v>3rd Rank</v>
      </c>
    </row>
    <row r="69" spans="4:14" x14ac:dyDescent="0.3">
      <c r="D69" s="2">
        <v>1398</v>
      </c>
      <c r="E69" s="2" t="s">
        <v>56</v>
      </c>
      <c r="F69" s="2" t="s">
        <v>99</v>
      </c>
      <c r="G69" s="2" t="s">
        <v>102</v>
      </c>
      <c r="H69" s="2">
        <v>76</v>
      </c>
      <c r="I69" s="2">
        <v>47</v>
      </c>
      <c r="J69" s="3">
        <f t="shared" si="8"/>
        <v>123</v>
      </c>
      <c r="K69" s="3">
        <f t="shared" si="6"/>
        <v>61.5</v>
      </c>
      <c r="L69" s="1" t="str">
        <f t="shared" si="3"/>
        <v>C</v>
      </c>
      <c r="M69" s="5" t="str">
        <f t="shared" si="4"/>
        <v>Pass</v>
      </c>
      <c r="N69" s="1" t="str">
        <f t="shared" si="7"/>
        <v>3rd Rank</v>
      </c>
    </row>
    <row r="70" spans="4:14" x14ac:dyDescent="0.3">
      <c r="D70" s="2">
        <v>1210</v>
      </c>
      <c r="E70" s="2" t="s">
        <v>42</v>
      </c>
      <c r="F70" s="2" t="s">
        <v>99</v>
      </c>
      <c r="G70" s="2" t="s">
        <v>103</v>
      </c>
      <c r="H70" s="2">
        <v>84</v>
      </c>
      <c r="I70" s="2">
        <v>89</v>
      </c>
      <c r="J70" s="3">
        <f t="shared" si="8"/>
        <v>173</v>
      </c>
      <c r="K70" s="3">
        <f t="shared" ref="K70:K101" si="9">AVERAGE(H70:I70)</f>
        <v>86.5</v>
      </c>
      <c r="L70" s="1" t="str">
        <f t="shared" si="3"/>
        <v>B</v>
      </c>
      <c r="M70" s="5" t="str">
        <f t="shared" si="4"/>
        <v>Pass</v>
      </c>
      <c r="N70" s="1" t="str">
        <f t="shared" ref="N70:N101" si="10">IF(K70&gt;=90,"1st Rank",IF(K70&gt;=75,"2nd Rank",IF(K70&gt;=56,"3rd Rank",IF(K70&gt;=41,"4th Rank","5th Rank"))))</f>
        <v>2nd Rank</v>
      </c>
    </row>
    <row r="71" spans="4:14" x14ac:dyDescent="0.3">
      <c r="D71" s="2">
        <v>1650</v>
      </c>
      <c r="E71" s="2" t="s">
        <v>25</v>
      </c>
      <c r="F71" s="2" t="s">
        <v>100</v>
      </c>
      <c r="G71" s="2" t="s">
        <v>104</v>
      </c>
      <c r="H71" s="2">
        <v>88</v>
      </c>
      <c r="I71" s="2">
        <v>86</v>
      </c>
      <c r="J71" s="3">
        <f t="shared" si="8"/>
        <v>174</v>
      </c>
      <c r="K71" s="3">
        <f t="shared" si="9"/>
        <v>87</v>
      </c>
      <c r="L71" s="1" t="str">
        <f t="shared" ref="L71:L134" si="11">IF(AVERAGE(H71:I71)&gt;=90,"A",IF(AVERAGE(H71:I71)&gt;=75,"B",IF(AVERAGE(H71:I71)&gt;=56,"C",IF(AVERAGE(H71:I71)&gt;=41,"D","E"))))</f>
        <v>B</v>
      </c>
      <c r="M71" s="5" t="str">
        <f t="shared" ref="M71" si="12">IF(AND(H71&gt;=41,I71&gt;=42),"Pass","Fail")</f>
        <v>Pass</v>
      </c>
      <c r="N71" s="1" t="str">
        <f t="shared" si="10"/>
        <v>2nd Rank</v>
      </c>
    </row>
    <row r="72" spans="4:14" x14ac:dyDescent="0.3">
      <c r="D72" s="2">
        <v>1340</v>
      </c>
      <c r="E72" s="2" t="s">
        <v>46</v>
      </c>
      <c r="F72" s="2" t="s">
        <v>100</v>
      </c>
      <c r="G72" s="2" t="s">
        <v>101</v>
      </c>
      <c r="H72" s="2">
        <v>88</v>
      </c>
      <c r="I72" s="2">
        <v>71</v>
      </c>
      <c r="J72" s="3">
        <f t="shared" si="8"/>
        <v>159</v>
      </c>
      <c r="K72" s="3">
        <f t="shared" si="9"/>
        <v>79.5</v>
      </c>
      <c r="L72" s="1" t="str">
        <f t="shared" si="11"/>
        <v>B</v>
      </c>
      <c r="M72" s="5" t="str">
        <f>IF(AND(H72&gt;=41,I72&gt;=42),"Pass","Fail")</f>
        <v>Pass</v>
      </c>
      <c r="N72" s="1" t="str">
        <f t="shared" si="10"/>
        <v>2nd Rank</v>
      </c>
    </row>
    <row r="73" spans="4:14" x14ac:dyDescent="0.3">
      <c r="D73" s="2">
        <v>1542</v>
      </c>
      <c r="E73" s="2" t="s">
        <v>57</v>
      </c>
      <c r="F73" s="2" t="s">
        <v>100</v>
      </c>
      <c r="G73" s="2" t="s">
        <v>104</v>
      </c>
      <c r="H73" s="2">
        <v>90</v>
      </c>
      <c r="I73" s="2">
        <v>76</v>
      </c>
      <c r="J73" s="3">
        <f t="shared" si="8"/>
        <v>166</v>
      </c>
      <c r="K73" s="3">
        <f t="shared" si="9"/>
        <v>83</v>
      </c>
      <c r="L73" s="1" t="str">
        <f t="shared" si="11"/>
        <v>B</v>
      </c>
      <c r="M73" s="5" t="str">
        <f t="shared" ref="M73:M111" si="13">IF(AND(H73&gt;=41,I73&gt;=42),"Pass","Fail")</f>
        <v>Pass</v>
      </c>
      <c r="N73" s="1" t="str">
        <f t="shared" si="10"/>
        <v>2nd Rank</v>
      </c>
    </row>
    <row r="74" spans="4:14" x14ac:dyDescent="0.3">
      <c r="D74" s="2">
        <v>1798</v>
      </c>
      <c r="E74" s="2" t="s">
        <v>38</v>
      </c>
      <c r="F74" s="2" t="s">
        <v>100</v>
      </c>
      <c r="G74" s="2" t="s">
        <v>103</v>
      </c>
      <c r="H74" s="2">
        <v>43</v>
      </c>
      <c r="I74" s="2">
        <v>44</v>
      </c>
      <c r="J74" s="3">
        <f t="shared" ref="J74:J105" si="14">SUM(H74:I74)</f>
        <v>87</v>
      </c>
      <c r="K74" s="3">
        <f t="shared" si="9"/>
        <v>43.5</v>
      </c>
      <c r="L74" s="1" t="str">
        <f t="shared" si="11"/>
        <v>D</v>
      </c>
      <c r="M74" s="5" t="str">
        <f t="shared" si="13"/>
        <v>Pass</v>
      </c>
      <c r="N74" s="1" t="str">
        <f t="shared" si="10"/>
        <v>4th Rank</v>
      </c>
    </row>
    <row r="75" spans="4:14" x14ac:dyDescent="0.3">
      <c r="D75" s="2">
        <v>1652</v>
      </c>
      <c r="E75" s="2" t="s">
        <v>18</v>
      </c>
      <c r="F75" s="2" t="s">
        <v>99</v>
      </c>
      <c r="G75" s="2" t="s">
        <v>104</v>
      </c>
      <c r="H75" s="2">
        <v>56</v>
      </c>
      <c r="I75" s="2">
        <v>43</v>
      </c>
      <c r="J75" s="3">
        <f t="shared" si="14"/>
        <v>99</v>
      </c>
      <c r="K75" s="3">
        <f t="shared" si="9"/>
        <v>49.5</v>
      </c>
      <c r="L75" s="1" t="str">
        <f t="shared" si="11"/>
        <v>D</v>
      </c>
      <c r="M75" s="5" t="str">
        <f t="shared" si="13"/>
        <v>Pass</v>
      </c>
      <c r="N75" s="1" t="str">
        <f t="shared" si="10"/>
        <v>4th Rank</v>
      </c>
    </row>
    <row r="76" spans="4:14" x14ac:dyDescent="0.3">
      <c r="D76" s="2">
        <v>1429</v>
      </c>
      <c r="E76" s="2" t="s">
        <v>8</v>
      </c>
      <c r="F76" s="2" t="s">
        <v>99</v>
      </c>
      <c r="G76" s="2" t="s">
        <v>104</v>
      </c>
      <c r="H76" s="2">
        <v>58</v>
      </c>
      <c r="I76" s="2">
        <v>55</v>
      </c>
      <c r="J76" s="3">
        <f t="shared" si="14"/>
        <v>113</v>
      </c>
      <c r="K76" s="3">
        <f t="shared" si="9"/>
        <v>56.5</v>
      </c>
      <c r="L76" s="1" t="str">
        <f t="shared" si="11"/>
        <v>C</v>
      </c>
      <c r="M76" s="5" t="str">
        <f t="shared" si="13"/>
        <v>Pass</v>
      </c>
      <c r="N76" s="1" t="str">
        <f t="shared" si="10"/>
        <v>3rd Rank</v>
      </c>
    </row>
    <row r="77" spans="4:14" x14ac:dyDescent="0.3">
      <c r="D77" s="2">
        <v>1013</v>
      </c>
      <c r="E77" s="2" t="s">
        <v>20</v>
      </c>
      <c r="F77" s="2" t="s">
        <v>99</v>
      </c>
      <c r="G77" s="2" t="s">
        <v>106</v>
      </c>
      <c r="H77" s="2">
        <v>52</v>
      </c>
      <c r="I77" s="2">
        <v>50</v>
      </c>
      <c r="J77" s="3">
        <f t="shared" si="14"/>
        <v>102</v>
      </c>
      <c r="K77" s="3">
        <f t="shared" si="9"/>
        <v>51</v>
      </c>
      <c r="L77" s="1" t="str">
        <f t="shared" si="11"/>
        <v>D</v>
      </c>
      <c r="M77" s="5" t="str">
        <f t="shared" si="13"/>
        <v>Pass</v>
      </c>
      <c r="N77" s="1" t="str">
        <f t="shared" si="10"/>
        <v>4th Rank</v>
      </c>
    </row>
    <row r="78" spans="4:14" x14ac:dyDescent="0.3">
      <c r="D78" s="2">
        <v>1198</v>
      </c>
      <c r="E78" s="2" t="s">
        <v>52</v>
      </c>
      <c r="F78" s="2" t="s">
        <v>100</v>
      </c>
      <c r="G78" s="2" t="s">
        <v>104</v>
      </c>
      <c r="H78" s="2">
        <v>50</v>
      </c>
      <c r="I78" s="2">
        <v>50</v>
      </c>
      <c r="J78" s="3">
        <f t="shared" si="14"/>
        <v>100</v>
      </c>
      <c r="K78" s="3">
        <f t="shared" si="9"/>
        <v>50</v>
      </c>
      <c r="L78" s="1" t="str">
        <f t="shared" si="11"/>
        <v>D</v>
      </c>
      <c r="M78" s="5" t="str">
        <f t="shared" si="13"/>
        <v>Pass</v>
      </c>
      <c r="N78" s="1" t="str">
        <f t="shared" si="10"/>
        <v>4th Rank</v>
      </c>
    </row>
    <row r="79" spans="4:14" x14ac:dyDescent="0.3">
      <c r="D79" s="2">
        <v>1157</v>
      </c>
      <c r="E79" s="2" t="s">
        <v>58</v>
      </c>
      <c r="F79" s="2" t="s">
        <v>100</v>
      </c>
      <c r="G79" s="2" t="s">
        <v>104</v>
      </c>
      <c r="H79" s="2">
        <v>42</v>
      </c>
      <c r="I79" s="2">
        <v>50</v>
      </c>
      <c r="J79" s="3">
        <f t="shared" si="14"/>
        <v>92</v>
      </c>
      <c r="K79" s="3">
        <f t="shared" si="9"/>
        <v>46</v>
      </c>
      <c r="L79" s="1" t="str">
        <f t="shared" si="11"/>
        <v>D</v>
      </c>
      <c r="M79" s="5" t="str">
        <f t="shared" si="13"/>
        <v>Pass</v>
      </c>
      <c r="N79" s="1" t="str">
        <f t="shared" si="10"/>
        <v>4th Rank</v>
      </c>
    </row>
    <row r="80" spans="4:14" x14ac:dyDescent="0.3">
      <c r="D80" s="2">
        <v>1414</v>
      </c>
      <c r="E80" s="2" t="s">
        <v>30</v>
      </c>
      <c r="F80" s="2" t="s">
        <v>100</v>
      </c>
      <c r="G80" s="2" t="s">
        <v>101</v>
      </c>
      <c r="H80" s="2">
        <v>46</v>
      </c>
      <c r="I80" s="2">
        <v>43</v>
      </c>
      <c r="J80" s="3">
        <f t="shared" si="14"/>
        <v>89</v>
      </c>
      <c r="K80" s="3">
        <f t="shared" si="9"/>
        <v>44.5</v>
      </c>
      <c r="L80" s="1" t="str">
        <f t="shared" si="11"/>
        <v>D</v>
      </c>
      <c r="M80" s="5" t="str">
        <f t="shared" si="13"/>
        <v>Pass</v>
      </c>
      <c r="N80" s="1" t="str">
        <f t="shared" si="10"/>
        <v>4th Rank</v>
      </c>
    </row>
    <row r="81" spans="4:14" x14ac:dyDescent="0.3">
      <c r="D81" s="2">
        <v>1646</v>
      </c>
      <c r="E81" s="2" t="s">
        <v>59</v>
      </c>
      <c r="F81" s="2" t="s">
        <v>100</v>
      </c>
      <c r="G81" s="2" t="s">
        <v>101</v>
      </c>
      <c r="H81" s="2">
        <v>44</v>
      </c>
      <c r="I81" s="2">
        <v>36</v>
      </c>
      <c r="J81" s="3">
        <f t="shared" si="14"/>
        <v>80</v>
      </c>
      <c r="K81" s="3">
        <f t="shared" si="9"/>
        <v>40</v>
      </c>
      <c r="L81" s="1" t="str">
        <f t="shared" si="11"/>
        <v>E</v>
      </c>
      <c r="M81" s="5" t="str">
        <f t="shared" si="13"/>
        <v>Fail</v>
      </c>
      <c r="N81" s="1" t="str">
        <f t="shared" si="10"/>
        <v>5th Rank</v>
      </c>
    </row>
    <row r="82" spans="4:14" x14ac:dyDescent="0.3">
      <c r="D82" s="2">
        <v>1819</v>
      </c>
      <c r="E82" s="2" t="s">
        <v>15</v>
      </c>
      <c r="F82" s="2" t="s">
        <v>100</v>
      </c>
      <c r="G82" s="2" t="s">
        <v>103</v>
      </c>
      <c r="H82" s="2">
        <v>74</v>
      </c>
      <c r="I82" s="2">
        <v>66</v>
      </c>
      <c r="J82" s="3">
        <f t="shared" si="14"/>
        <v>140</v>
      </c>
      <c r="K82" s="3">
        <f t="shared" si="9"/>
        <v>70</v>
      </c>
      <c r="L82" s="1" t="str">
        <f t="shared" si="11"/>
        <v>C</v>
      </c>
      <c r="M82" s="5" t="str">
        <f t="shared" si="13"/>
        <v>Pass</v>
      </c>
      <c r="N82" s="1" t="str">
        <f t="shared" si="10"/>
        <v>3rd Rank</v>
      </c>
    </row>
    <row r="83" spans="4:14" x14ac:dyDescent="0.3">
      <c r="D83" s="2">
        <v>1918</v>
      </c>
      <c r="E83" s="2" t="s">
        <v>9</v>
      </c>
      <c r="F83" s="2" t="s">
        <v>100</v>
      </c>
      <c r="G83" s="2" t="s">
        <v>102</v>
      </c>
      <c r="H83" s="2">
        <v>76</v>
      </c>
      <c r="I83" s="2">
        <v>88</v>
      </c>
      <c r="J83" s="3">
        <f t="shared" si="14"/>
        <v>164</v>
      </c>
      <c r="K83" s="3">
        <f t="shared" si="9"/>
        <v>82</v>
      </c>
      <c r="L83" s="1" t="str">
        <f t="shared" si="11"/>
        <v>B</v>
      </c>
      <c r="M83" s="5" t="str">
        <f t="shared" si="13"/>
        <v>Pass</v>
      </c>
      <c r="N83" s="1" t="str">
        <f t="shared" si="10"/>
        <v>2nd Rank</v>
      </c>
    </row>
    <row r="84" spans="4:14" x14ac:dyDescent="0.3">
      <c r="D84" s="2">
        <v>1716</v>
      </c>
      <c r="E84" s="2" t="s">
        <v>60</v>
      </c>
      <c r="F84" s="2" t="s">
        <v>99</v>
      </c>
      <c r="G84" s="2" t="s">
        <v>103</v>
      </c>
      <c r="H84" s="2">
        <v>35</v>
      </c>
      <c r="I84" s="2">
        <v>33</v>
      </c>
      <c r="J84" s="3">
        <f t="shared" si="14"/>
        <v>68</v>
      </c>
      <c r="K84" s="3">
        <f t="shared" si="9"/>
        <v>34</v>
      </c>
      <c r="L84" s="1" t="str">
        <f t="shared" si="11"/>
        <v>E</v>
      </c>
      <c r="M84" s="5" t="str">
        <f t="shared" si="13"/>
        <v>Fail</v>
      </c>
      <c r="N84" s="1" t="str">
        <f t="shared" si="10"/>
        <v>5th Rank</v>
      </c>
    </row>
    <row r="85" spans="4:14" x14ac:dyDescent="0.3">
      <c r="D85" s="2">
        <v>1519</v>
      </c>
      <c r="E85" s="2" t="s">
        <v>61</v>
      </c>
      <c r="F85" s="2" t="s">
        <v>99</v>
      </c>
      <c r="G85" s="2" t="s">
        <v>103</v>
      </c>
      <c r="H85" s="2">
        <v>46</v>
      </c>
      <c r="I85" s="2">
        <v>45</v>
      </c>
      <c r="J85" s="3">
        <f t="shared" si="14"/>
        <v>91</v>
      </c>
      <c r="K85" s="3">
        <f t="shared" si="9"/>
        <v>45.5</v>
      </c>
      <c r="L85" s="1" t="str">
        <f t="shared" si="11"/>
        <v>D</v>
      </c>
      <c r="M85" s="5" t="str">
        <f t="shared" si="13"/>
        <v>Pass</v>
      </c>
      <c r="N85" s="1" t="str">
        <f t="shared" si="10"/>
        <v>4th Rank</v>
      </c>
    </row>
    <row r="86" spans="4:14" x14ac:dyDescent="0.3">
      <c r="D86" s="2">
        <v>1251</v>
      </c>
      <c r="E86" s="2" t="s">
        <v>62</v>
      </c>
      <c r="F86" s="2" t="s">
        <v>100</v>
      </c>
      <c r="G86" s="2" t="s">
        <v>104</v>
      </c>
      <c r="H86" s="2">
        <v>82</v>
      </c>
      <c r="I86" s="2">
        <v>71</v>
      </c>
      <c r="J86" s="3">
        <f t="shared" si="14"/>
        <v>153</v>
      </c>
      <c r="K86" s="3">
        <f t="shared" si="9"/>
        <v>76.5</v>
      </c>
      <c r="L86" s="1" t="str">
        <f t="shared" si="11"/>
        <v>B</v>
      </c>
      <c r="M86" s="5" t="str">
        <f t="shared" si="13"/>
        <v>Pass</v>
      </c>
      <c r="N86" s="1" t="str">
        <f t="shared" si="10"/>
        <v>2nd Rank</v>
      </c>
    </row>
    <row r="87" spans="4:14" x14ac:dyDescent="0.3">
      <c r="D87" s="2">
        <v>1221</v>
      </c>
      <c r="E87" s="2" t="s">
        <v>63</v>
      </c>
      <c r="F87" s="2" t="s">
        <v>99</v>
      </c>
      <c r="G87" s="2" t="s">
        <v>101</v>
      </c>
      <c r="H87" s="2">
        <v>86</v>
      </c>
      <c r="I87" s="2">
        <v>46</v>
      </c>
      <c r="J87" s="3">
        <f t="shared" si="14"/>
        <v>132</v>
      </c>
      <c r="K87" s="3">
        <f t="shared" si="9"/>
        <v>66</v>
      </c>
      <c r="L87" s="1" t="str">
        <f t="shared" si="11"/>
        <v>C</v>
      </c>
      <c r="M87" s="5" t="str">
        <f t="shared" si="13"/>
        <v>Pass</v>
      </c>
      <c r="N87" s="1" t="str">
        <f t="shared" si="10"/>
        <v>3rd Rank</v>
      </c>
    </row>
    <row r="88" spans="4:14" x14ac:dyDescent="0.3">
      <c r="D88" s="2">
        <v>1546</v>
      </c>
      <c r="E88" s="2" t="s">
        <v>64</v>
      </c>
      <c r="F88" s="2" t="s">
        <v>99</v>
      </c>
      <c r="G88" s="2" t="s">
        <v>101</v>
      </c>
      <c r="H88" s="2">
        <v>59</v>
      </c>
      <c r="I88" s="2">
        <v>84</v>
      </c>
      <c r="J88" s="3">
        <f t="shared" si="14"/>
        <v>143</v>
      </c>
      <c r="K88" s="3">
        <f t="shared" si="9"/>
        <v>71.5</v>
      </c>
      <c r="L88" s="1" t="str">
        <f t="shared" si="11"/>
        <v>C</v>
      </c>
      <c r="M88" s="5" t="str">
        <f t="shared" si="13"/>
        <v>Pass</v>
      </c>
      <c r="N88" s="1" t="str">
        <f t="shared" si="10"/>
        <v>3rd Rank</v>
      </c>
    </row>
    <row r="89" spans="4:14" x14ac:dyDescent="0.3">
      <c r="D89" s="2">
        <v>1551</v>
      </c>
      <c r="E89" s="2" t="s">
        <v>65</v>
      </c>
      <c r="F89" s="2" t="s">
        <v>99</v>
      </c>
      <c r="G89" s="2" t="s">
        <v>101</v>
      </c>
      <c r="H89" s="2">
        <v>57</v>
      </c>
      <c r="I89" s="2">
        <v>88</v>
      </c>
      <c r="J89" s="3">
        <f t="shared" si="14"/>
        <v>145</v>
      </c>
      <c r="K89" s="3">
        <f t="shared" si="9"/>
        <v>72.5</v>
      </c>
      <c r="L89" s="1" t="str">
        <f t="shared" si="11"/>
        <v>C</v>
      </c>
      <c r="M89" s="5" t="str">
        <f t="shared" si="13"/>
        <v>Pass</v>
      </c>
      <c r="N89" s="1" t="str">
        <f t="shared" si="10"/>
        <v>3rd Rank</v>
      </c>
    </row>
    <row r="90" spans="4:14" x14ac:dyDescent="0.3">
      <c r="D90" s="2">
        <v>1986</v>
      </c>
      <c r="E90" s="2" t="s">
        <v>26</v>
      </c>
      <c r="F90" s="2" t="s">
        <v>100</v>
      </c>
      <c r="G90" s="2" t="s">
        <v>103</v>
      </c>
      <c r="H90" s="2">
        <v>46</v>
      </c>
      <c r="I90" s="2">
        <v>81</v>
      </c>
      <c r="J90" s="3">
        <f t="shared" si="14"/>
        <v>127</v>
      </c>
      <c r="K90" s="3">
        <f t="shared" si="9"/>
        <v>63.5</v>
      </c>
      <c r="L90" s="1" t="str">
        <f t="shared" si="11"/>
        <v>C</v>
      </c>
      <c r="M90" s="5" t="str">
        <f t="shared" si="13"/>
        <v>Pass</v>
      </c>
      <c r="N90" s="1" t="str">
        <f t="shared" si="10"/>
        <v>3rd Rank</v>
      </c>
    </row>
    <row r="91" spans="4:14" x14ac:dyDescent="0.3">
      <c r="D91" s="2">
        <v>1131</v>
      </c>
      <c r="E91" s="2" t="s">
        <v>66</v>
      </c>
      <c r="F91" s="2" t="s">
        <v>100</v>
      </c>
      <c r="G91" s="2" t="s">
        <v>106</v>
      </c>
      <c r="H91" s="2">
        <v>74</v>
      </c>
      <c r="I91" s="2">
        <v>49</v>
      </c>
      <c r="J91" s="3">
        <f t="shared" si="14"/>
        <v>123</v>
      </c>
      <c r="K91" s="3">
        <f t="shared" si="9"/>
        <v>61.5</v>
      </c>
      <c r="L91" s="1" t="str">
        <f t="shared" si="11"/>
        <v>C</v>
      </c>
      <c r="M91" s="5" t="str">
        <f t="shared" si="13"/>
        <v>Pass</v>
      </c>
      <c r="N91" s="1" t="str">
        <f t="shared" si="10"/>
        <v>3rd Rank</v>
      </c>
    </row>
    <row r="92" spans="4:14" x14ac:dyDescent="0.3">
      <c r="D92" s="2">
        <v>1225</v>
      </c>
      <c r="E92" s="2" t="s">
        <v>67</v>
      </c>
      <c r="F92" s="2" t="s">
        <v>100</v>
      </c>
      <c r="G92" s="2" t="s">
        <v>106</v>
      </c>
      <c r="H92" s="2">
        <v>76</v>
      </c>
      <c r="I92" s="2">
        <v>49</v>
      </c>
      <c r="J92" s="3">
        <f t="shared" si="14"/>
        <v>125</v>
      </c>
      <c r="K92" s="3">
        <f t="shared" si="9"/>
        <v>62.5</v>
      </c>
      <c r="L92" s="1" t="str">
        <f t="shared" si="11"/>
        <v>C</v>
      </c>
      <c r="M92" s="5" t="str">
        <f t="shared" si="13"/>
        <v>Pass</v>
      </c>
      <c r="N92" s="1" t="str">
        <f t="shared" si="10"/>
        <v>3rd Rank</v>
      </c>
    </row>
    <row r="93" spans="4:14" x14ac:dyDescent="0.3">
      <c r="D93" s="2">
        <v>1636</v>
      </c>
      <c r="E93" s="2" t="s">
        <v>58</v>
      </c>
      <c r="F93" s="2" t="s">
        <v>100</v>
      </c>
      <c r="G93" s="2" t="s">
        <v>104</v>
      </c>
      <c r="H93" s="2">
        <v>77</v>
      </c>
      <c r="I93" s="2">
        <v>49</v>
      </c>
      <c r="J93" s="3">
        <f t="shared" si="14"/>
        <v>126</v>
      </c>
      <c r="K93" s="3">
        <f t="shared" si="9"/>
        <v>63</v>
      </c>
      <c r="L93" s="1" t="str">
        <f t="shared" si="11"/>
        <v>C</v>
      </c>
      <c r="M93" s="5" t="str">
        <f t="shared" si="13"/>
        <v>Pass</v>
      </c>
      <c r="N93" s="1" t="str">
        <f t="shared" si="10"/>
        <v>3rd Rank</v>
      </c>
    </row>
    <row r="94" spans="4:14" x14ac:dyDescent="0.3">
      <c r="D94" s="2">
        <v>2656</v>
      </c>
      <c r="E94" s="2" t="s">
        <v>16</v>
      </c>
      <c r="F94" s="2" t="s">
        <v>100</v>
      </c>
      <c r="G94" s="2" t="s">
        <v>102</v>
      </c>
      <c r="H94" s="2">
        <v>87</v>
      </c>
      <c r="I94" s="2">
        <v>43</v>
      </c>
      <c r="J94" s="3">
        <f t="shared" si="14"/>
        <v>130</v>
      </c>
      <c r="K94" s="3">
        <f t="shared" si="9"/>
        <v>65</v>
      </c>
      <c r="L94" s="1" t="str">
        <f t="shared" si="11"/>
        <v>C</v>
      </c>
      <c r="M94" s="5" t="str">
        <f t="shared" si="13"/>
        <v>Pass</v>
      </c>
      <c r="N94" s="1" t="str">
        <f t="shared" si="10"/>
        <v>3rd Rank</v>
      </c>
    </row>
    <row r="95" spans="4:14" x14ac:dyDescent="0.3">
      <c r="D95" s="2">
        <v>2341</v>
      </c>
      <c r="E95" s="2" t="s">
        <v>68</v>
      </c>
      <c r="F95" s="2" t="s">
        <v>99</v>
      </c>
      <c r="G95" s="2" t="s">
        <v>102</v>
      </c>
      <c r="H95" s="2">
        <v>89</v>
      </c>
      <c r="I95" s="2">
        <v>55</v>
      </c>
      <c r="J95" s="3">
        <f t="shared" si="14"/>
        <v>144</v>
      </c>
      <c r="K95" s="3">
        <f t="shared" si="9"/>
        <v>72</v>
      </c>
      <c r="L95" s="1" t="str">
        <f t="shared" si="11"/>
        <v>C</v>
      </c>
      <c r="M95" s="5" t="str">
        <f t="shared" si="13"/>
        <v>Pass</v>
      </c>
      <c r="N95" s="1" t="str">
        <f t="shared" si="10"/>
        <v>3rd Rank</v>
      </c>
    </row>
    <row r="96" spans="4:14" x14ac:dyDescent="0.3">
      <c r="D96" s="2">
        <v>2020</v>
      </c>
      <c r="E96" s="2" t="s">
        <v>34</v>
      </c>
      <c r="F96" s="2" t="s">
        <v>100</v>
      </c>
      <c r="G96" s="2" t="s">
        <v>101</v>
      </c>
      <c r="H96" s="2">
        <v>80</v>
      </c>
      <c r="I96" s="2">
        <v>58</v>
      </c>
      <c r="J96" s="3">
        <f t="shared" si="14"/>
        <v>138</v>
      </c>
      <c r="K96" s="3">
        <f t="shared" si="9"/>
        <v>69</v>
      </c>
      <c r="L96" s="1" t="str">
        <f t="shared" si="11"/>
        <v>C</v>
      </c>
      <c r="M96" s="5" t="str">
        <f t="shared" si="13"/>
        <v>Pass</v>
      </c>
      <c r="N96" s="1" t="str">
        <f t="shared" si="10"/>
        <v>3rd Rank</v>
      </c>
    </row>
    <row r="97" spans="4:14" x14ac:dyDescent="0.3">
      <c r="D97" s="2">
        <v>2010</v>
      </c>
      <c r="E97" s="2" t="s">
        <v>47</v>
      </c>
      <c r="F97" s="2" t="s">
        <v>99</v>
      </c>
      <c r="G97" s="2" t="s">
        <v>101</v>
      </c>
      <c r="H97" s="2">
        <v>24</v>
      </c>
      <c r="I97" s="2">
        <v>43</v>
      </c>
      <c r="J97" s="3">
        <f t="shared" si="14"/>
        <v>67</v>
      </c>
      <c r="K97" s="3">
        <f t="shared" si="9"/>
        <v>33.5</v>
      </c>
      <c r="L97" s="1" t="str">
        <f t="shared" si="11"/>
        <v>E</v>
      </c>
      <c r="M97" s="5" t="str">
        <f t="shared" si="13"/>
        <v>Fail</v>
      </c>
      <c r="N97" s="1" t="str">
        <f t="shared" si="10"/>
        <v>5th Rank</v>
      </c>
    </row>
    <row r="98" spans="4:14" x14ac:dyDescent="0.3">
      <c r="D98" s="2">
        <v>2013</v>
      </c>
      <c r="E98" s="2" t="s">
        <v>46</v>
      </c>
      <c r="F98" s="2" t="s">
        <v>100</v>
      </c>
      <c r="G98" s="2" t="s">
        <v>106</v>
      </c>
      <c r="H98" s="2">
        <v>64</v>
      </c>
      <c r="I98" s="2">
        <v>40</v>
      </c>
      <c r="J98" s="3">
        <f t="shared" si="14"/>
        <v>104</v>
      </c>
      <c r="K98" s="3">
        <f t="shared" si="9"/>
        <v>52</v>
      </c>
      <c r="L98" s="1" t="str">
        <f t="shared" si="11"/>
        <v>D</v>
      </c>
      <c r="M98" s="5" t="str">
        <f t="shared" si="13"/>
        <v>Fail</v>
      </c>
      <c r="N98" s="1" t="str">
        <f t="shared" si="10"/>
        <v>4th Rank</v>
      </c>
    </row>
    <row r="99" spans="4:14" x14ac:dyDescent="0.3">
      <c r="D99" s="2">
        <v>2034</v>
      </c>
      <c r="E99" s="2" t="s">
        <v>69</v>
      </c>
      <c r="F99" s="2" t="s">
        <v>99</v>
      </c>
      <c r="G99" s="2" t="s">
        <v>104</v>
      </c>
      <c r="H99" s="2">
        <v>65</v>
      </c>
      <c r="I99" s="2">
        <v>55</v>
      </c>
      <c r="J99" s="3">
        <f t="shared" si="14"/>
        <v>120</v>
      </c>
      <c r="K99" s="3">
        <f t="shared" si="9"/>
        <v>60</v>
      </c>
      <c r="L99" s="1" t="str">
        <f t="shared" si="11"/>
        <v>C</v>
      </c>
      <c r="M99" s="5" t="str">
        <f t="shared" si="13"/>
        <v>Pass</v>
      </c>
      <c r="N99" s="1" t="str">
        <f t="shared" si="10"/>
        <v>3rd Rank</v>
      </c>
    </row>
    <row r="100" spans="4:14" x14ac:dyDescent="0.3">
      <c r="D100" s="2">
        <v>2016</v>
      </c>
      <c r="E100" s="2" t="s">
        <v>8</v>
      </c>
      <c r="F100" s="2" t="s">
        <v>99</v>
      </c>
      <c r="G100" s="2" t="s">
        <v>106</v>
      </c>
      <c r="H100" s="2">
        <v>35</v>
      </c>
      <c r="I100" s="2">
        <v>59</v>
      </c>
      <c r="J100" s="3">
        <f t="shared" si="14"/>
        <v>94</v>
      </c>
      <c r="K100" s="3">
        <f t="shared" si="9"/>
        <v>47</v>
      </c>
      <c r="L100" s="1" t="str">
        <f t="shared" si="11"/>
        <v>D</v>
      </c>
      <c r="M100" s="5" t="str">
        <f t="shared" si="13"/>
        <v>Fail</v>
      </c>
      <c r="N100" s="1" t="str">
        <f t="shared" si="10"/>
        <v>4th Rank</v>
      </c>
    </row>
    <row r="101" spans="4:14" x14ac:dyDescent="0.3">
      <c r="D101" s="2">
        <v>2019</v>
      </c>
      <c r="E101" s="2" t="s">
        <v>19</v>
      </c>
      <c r="F101" s="2" t="s">
        <v>99</v>
      </c>
      <c r="G101" s="2" t="s">
        <v>102</v>
      </c>
      <c r="H101" s="2">
        <v>38</v>
      </c>
      <c r="I101" s="2">
        <v>32</v>
      </c>
      <c r="J101" s="3">
        <f t="shared" si="14"/>
        <v>70</v>
      </c>
      <c r="K101" s="3">
        <f t="shared" si="9"/>
        <v>35</v>
      </c>
      <c r="L101" s="1" t="str">
        <f t="shared" si="11"/>
        <v>E</v>
      </c>
      <c r="M101" s="5" t="str">
        <f t="shared" si="13"/>
        <v>Fail</v>
      </c>
      <c r="N101" s="1" t="str">
        <f t="shared" si="10"/>
        <v>5th Rank</v>
      </c>
    </row>
    <row r="102" spans="4:14" x14ac:dyDescent="0.3">
      <c r="D102" s="2">
        <v>2011</v>
      </c>
      <c r="E102" s="2" t="s">
        <v>13</v>
      </c>
      <c r="F102" s="2" t="s">
        <v>99</v>
      </c>
      <c r="G102" s="2" t="s">
        <v>102</v>
      </c>
      <c r="H102" s="2">
        <v>78</v>
      </c>
      <c r="I102" s="2">
        <v>26</v>
      </c>
      <c r="J102" s="3">
        <f t="shared" si="14"/>
        <v>104</v>
      </c>
      <c r="K102" s="3">
        <f t="shared" ref="K102:K133" si="15">AVERAGE(H102:I102)</f>
        <v>52</v>
      </c>
      <c r="L102" s="1" t="str">
        <f t="shared" si="11"/>
        <v>D</v>
      </c>
      <c r="M102" s="5" t="str">
        <f t="shared" si="13"/>
        <v>Fail</v>
      </c>
      <c r="N102" s="1" t="str">
        <f t="shared" ref="N102:N133" si="16">IF(K102&gt;=90,"1st Rank",IF(K102&gt;=75,"2nd Rank",IF(K102&gt;=56,"3rd Rank",IF(K102&gt;=41,"4th Rank","5th Rank"))))</f>
        <v>4th Rank</v>
      </c>
    </row>
    <row r="103" spans="4:14" x14ac:dyDescent="0.3">
      <c r="D103" s="2">
        <v>2013</v>
      </c>
      <c r="E103" s="2" t="s">
        <v>20</v>
      </c>
      <c r="F103" s="2" t="s">
        <v>99</v>
      </c>
      <c r="G103" s="2" t="s">
        <v>103</v>
      </c>
      <c r="H103" s="2">
        <v>77</v>
      </c>
      <c r="I103" s="2">
        <v>24</v>
      </c>
      <c r="J103" s="3">
        <f t="shared" si="14"/>
        <v>101</v>
      </c>
      <c r="K103" s="3">
        <f t="shared" si="15"/>
        <v>50.5</v>
      </c>
      <c r="L103" s="1" t="str">
        <f t="shared" si="11"/>
        <v>D</v>
      </c>
      <c r="M103" s="5" t="str">
        <f t="shared" si="13"/>
        <v>Fail</v>
      </c>
      <c r="N103" s="1" t="str">
        <f t="shared" si="16"/>
        <v>4th Rank</v>
      </c>
    </row>
    <row r="104" spans="4:14" x14ac:dyDescent="0.3">
      <c r="D104" s="2">
        <v>2022</v>
      </c>
      <c r="E104" s="2" t="s">
        <v>15</v>
      </c>
      <c r="F104" s="2" t="s">
        <v>100</v>
      </c>
      <c r="G104" s="2" t="s">
        <v>101</v>
      </c>
      <c r="H104" s="2">
        <v>40</v>
      </c>
      <c r="I104" s="2">
        <v>15</v>
      </c>
      <c r="J104" s="3">
        <f t="shared" si="14"/>
        <v>55</v>
      </c>
      <c r="K104" s="3">
        <f t="shared" si="15"/>
        <v>27.5</v>
      </c>
      <c r="L104" s="1" t="str">
        <f t="shared" si="11"/>
        <v>E</v>
      </c>
      <c r="M104" s="5" t="str">
        <f t="shared" si="13"/>
        <v>Fail</v>
      </c>
      <c r="N104" s="1" t="str">
        <f t="shared" si="16"/>
        <v>5th Rank</v>
      </c>
    </row>
    <row r="105" spans="4:14" x14ac:dyDescent="0.3">
      <c r="D105" s="2">
        <v>2024</v>
      </c>
      <c r="E105" s="2" t="s">
        <v>21</v>
      </c>
      <c r="F105" s="2" t="s">
        <v>100</v>
      </c>
      <c r="G105" s="2" t="s">
        <v>101</v>
      </c>
      <c r="H105" s="2">
        <v>40</v>
      </c>
      <c r="I105" s="2">
        <v>18</v>
      </c>
      <c r="J105" s="3">
        <f t="shared" si="14"/>
        <v>58</v>
      </c>
      <c r="K105" s="3">
        <f t="shared" si="15"/>
        <v>29</v>
      </c>
      <c r="L105" s="1" t="str">
        <f t="shared" si="11"/>
        <v>E</v>
      </c>
      <c r="M105" s="5" t="str">
        <f t="shared" si="13"/>
        <v>Fail</v>
      </c>
      <c r="N105" s="1" t="str">
        <f t="shared" si="16"/>
        <v>5th Rank</v>
      </c>
    </row>
    <row r="106" spans="4:14" x14ac:dyDescent="0.3">
      <c r="D106" s="2">
        <v>2029</v>
      </c>
      <c r="E106" s="2" t="s">
        <v>70</v>
      </c>
      <c r="F106" s="2" t="s">
        <v>100</v>
      </c>
      <c r="G106" s="2" t="s">
        <v>101</v>
      </c>
      <c r="H106" s="2">
        <v>25</v>
      </c>
      <c r="I106" s="2">
        <v>66</v>
      </c>
      <c r="J106" s="3">
        <f t="shared" ref="J106:J137" si="17">SUM(H106:I106)</f>
        <v>91</v>
      </c>
      <c r="K106" s="3">
        <f t="shared" si="15"/>
        <v>45.5</v>
      </c>
      <c r="L106" s="1" t="str">
        <f t="shared" si="11"/>
        <v>D</v>
      </c>
      <c r="M106" s="5" t="str">
        <f t="shared" si="13"/>
        <v>Fail</v>
      </c>
      <c r="N106" s="1" t="str">
        <f t="shared" si="16"/>
        <v>4th Rank</v>
      </c>
    </row>
    <row r="107" spans="4:14" x14ac:dyDescent="0.3">
      <c r="D107" s="2">
        <v>2035</v>
      </c>
      <c r="E107" s="2" t="s">
        <v>71</v>
      </c>
      <c r="F107" s="2" t="s">
        <v>100</v>
      </c>
      <c r="G107" s="2" t="s">
        <v>104</v>
      </c>
      <c r="H107" s="2">
        <v>26</v>
      </c>
      <c r="I107" s="2">
        <v>68</v>
      </c>
      <c r="J107" s="3">
        <f t="shared" si="17"/>
        <v>94</v>
      </c>
      <c r="K107" s="3">
        <f t="shared" si="15"/>
        <v>47</v>
      </c>
      <c r="L107" s="1" t="str">
        <f t="shared" si="11"/>
        <v>D</v>
      </c>
      <c r="M107" s="5" t="str">
        <f t="shared" si="13"/>
        <v>Fail</v>
      </c>
      <c r="N107" s="1" t="str">
        <f t="shared" si="16"/>
        <v>4th Rank</v>
      </c>
    </row>
    <row r="108" spans="4:14" x14ac:dyDescent="0.3">
      <c r="D108" s="2">
        <v>2046</v>
      </c>
      <c r="E108" s="2" t="s">
        <v>20</v>
      </c>
      <c r="F108" s="2" t="s">
        <v>99</v>
      </c>
      <c r="G108" s="2" t="s">
        <v>104</v>
      </c>
      <c r="H108" s="2">
        <v>94</v>
      </c>
      <c r="I108" s="2">
        <v>48</v>
      </c>
      <c r="J108" s="3">
        <f t="shared" si="17"/>
        <v>142</v>
      </c>
      <c r="K108" s="3">
        <f t="shared" si="15"/>
        <v>71</v>
      </c>
      <c r="L108" s="1" t="str">
        <f t="shared" si="11"/>
        <v>C</v>
      </c>
      <c r="M108" s="5" t="str">
        <f t="shared" si="13"/>
        <v>Pass</v>
      </c>
      <c r="N108" s="1" t="str">
        <f t="shared" si="16"/>
        <v>3rd Rank</v>
      </c>
    </row>
    <row r="109" spans="4:14" x14ac:dyDescent="0.3">
      <c r="D109" s="2">
        <v>2049</v>
      </c>
      <c r="E109" s="2" t="s">
        <v>72</v>
      </c>
      <c r="F109" s="2" t="s">
        <v>100</v>
      </c>
      <c r="G109" s="2" t="s">
        <v>104</v>
      </c>
      <c r="H109" s="2">
        <v>73</v>
      </c>
      <c r="I109" s="2">
        <v>73</v>
      </c>
      <c r="J109" s="3">
        <f t="shared" si="17"/>
        <v>146</v>
      </c>
      <c r="K109" s="3">
        <f t="shared" si="15"/>
        <v>73</v>
      </c>
      <c r="L109" s="1" t="str">
        <f t="shared" si="11"/>
        <v>C</v>
      </c>
      <c r="M109" s="5" t="str">
        <f t="shared" si="13"/>
        <v>Pass</v>
      </c>
      <c r="N109" s="1" t="str">
        <f t="shared" si="16"/>
        <v>3rd Rank</v>
      </c>
    </row>
    <row r="110" spans="4:14" x14ac:dyDescent="0.3">
      <c r="D110" s="2">
        <v>2050</v>
      </c>
      <c r="E110" s="2" t="s">
        <v>73</v>
      </c>
      <c r="F110" s="2" t="s">
        <v>100</v>
      </c>
      <c r="G110" s="2" t="s">
        <v>103</v>
      </c>
      <c r="H110" s="2">
        <v>12</v>
      </c>
      <c r="I110" s="2">
        <v>91</v>
      </c>
      <c r="J110" s="3">
        <f t="shared" si="17"/>
        <v>103</v>
      </c>
      <c r="K110" s="3">
        <f t="shared" si="15"/>
        <v>51.5</v>
      </c>
      <c r="L110" s="1" t="str">
        <f t="shared" si="11"/>
        <v>D</v>
      </c>
      <c r="M110" s="5" t="str">
        <f t="shared" si="13"/>
        <v>Fail</v>
      </c>
      <c r="N110" s="1" t="str">
        <f t="shared" si="16"/>
        <v>4th Rank</v>
      </c>
    </row>
    <row r="111" spans="4:14" x14ac:dyDescent="0.3">
      <c r="D111" s="2">
        <v>2040</v>
      </c>
      <c r="E111" s="2" t="s">
        <v>13</v>
      </c>
      <c r="F111" s="2" t="s">
        <v>99</v>
      </c>
      <c r="G111" s="2" t="s">
        <v>106</v>
      </c>
      <c r="H111" s="2">
        <v>65</v>
      </c>
      <c r="I111" s="2">
        <v>90</v>
      </c>
      <c r="J111" s="3">
        <f t="shared" si="17"/>
        <v>155</v>
      </c>
      <c r="K111" s="3">
        <f t="shared" si="15"/>
        <v>77.5</v>
      </c>
      <c r="L111" s="1" t="str">
        <f t="shared" si="11"/>
        <v>B</v>
      </c>
      <c r="M111" s="5" t="str">
        <f t="shared" si="13"/>
        <v>Pass</v>
      </c>
      <c r="N111" s="1" t="str">
        <f t="shared" si="16"/>
        <v>2nd Rank</v>
      </c>
    </row>
    <row r="112" spans="4:14" x14ac:dyDescent="0.3">
      <c r="D112" s="2">
        <v>2039</v>
      </c>
      <c r="E112" s="2" t="s">
        <v>46</v>
      </c>
      <c r="F112" s="2" t="s">
        <v>100</v>
      </c>
      <c r="G112" s="2" t="s">
        <v>102</v>
      </c>
      <c r="H112" s="2">
        <v>69</v>
      </c>
      <c r="I112" s="2">
        <v>46</v>
      </c>
      <c r="J112" s="3">
        <f t="shared" si="17"/>
        <v>115</v>
      </c>
      <c r="K112" s="3">
        <f t="shared" si="15"/>
        <v>57.5</v>
      </c>
      <c r="L112" s="1" t="str">
        <f t="shared" si="11"/>
        <v>C</v>
      </c>
      <c r="M112" s="5" t="str">
        <f>IF(AND(H112&gt;=41,I112&gt;=42),"Pass","Fail")</f>
        <v>Pass</v>
      </c>
      <c r="N112" s="1" t="str">
        <f t="shared" si="16"/>
        <v>3rd Rank</v>
      </c>
    </row>
    <row r="113" spans="4:14" x14ac:dyDescent="0.3">
      <c r="D113" s="2">
        <v>1165</v>
      </c>
      <c r="E113" s="2" t="s">
        <v>19</v>
      </c>
      <c r="F113" s="2" t="s">
        <v>99</v>
      </c>
      <c r="G113" s="2" t="s">
        <v>102</v>
      </c>
      <c r="H113" s="2">
        <v>58</v>
      </c>
      <c r="I113" s="2">
        <v>58</v>
      </c>
      <c r="J113" s="3">
        <f t="shared" si="17"/>
        <v>116</v>
      </c>
      <c r="K113" s="3">
        <f t="shared" si="15"/>
        <v>58</v>
      </c>
      <c r="L113" s="1" t="str">
        <f t="shared" si="11"/>
        <v>C</v>
      </c>
      <c r="M113" s="5" t="str">
        <f t="shared" ref="M113:M135" si="18">IF(AND(H113&gt;=41,I113&gt;=42),"Pass","Fail")</f>
        <v>Pass</v>
      </c>
      <c r="N113" s="1" t="str">
        <f t="shared" si="16"/>
        <v>3rd Rank</v>
      </c>
    </row>
    <row r="114" spans="4:14" x14ac:dyDescent="0.3">
      <c r="D114" s="2">
        <v>1215</v>
      </c>
      <c r="E114" s="2" t="s">
        <v>14</v>
      </c>
      <c r="F114" s="2" t="s">
        <v>100</v>
      </c>
      <c r="G114" s="2" t="s">
        <v>101</v>
      </c>
      <c r="H114" s="2">
        <v>57</v>
      </c>
      <c r="I114" s="2">
        <v>73</v>
      </c>
      <c r="J114" s="3">
        <f t="shared" si="17"/>
        <v>130</v>
      </c>
      <c r="K114" s="3">
        <f t="shared" si="15"/>
        <v>65</v>
      </c>
      <c r="L114" s="1" t="str">
        <f t="shared" si="11"/>
        <v>C</v>
      </c>
      <c r="M114" s="5" t="str">
        <f t="shared" si="18"/>
        <v>Pass</v>
      </c>
      <c r="N114" s="1" t="str">
        <f t="shared" si="16"/>
        <v>3rd Rank</v>
      </c>
    </row>
    <row r="115" spans="4:14" x14ac:dyDescent="0.3">
      <c r="D115" s="2">
        <v>2115</v>
      </c>
      <c r="E115" s="2" t="s">
        <v>16</v>
      </c>
      <c r="F115" s="2" t="s">
        <v>99</v>
      </c>
      <c r="G115" s="2" t="s">
        <v>101</v>
      </c>
      <c r="H115" s="2">
        <v>49</v>
      </c>
      <c r="I115" s="2">
        <v>94</v>
      </c>
      <c r="J115" s="3">
        <f t="shared" si="17"/>
        <v>143</v>
      </c>
      <c r="K115" s="3">
        <f t="shared" si="15"/>
        <v>71.5</v>
      </c>
      <c r="L115" s="1" t="str">
        <f t="shared" si="11"/>
        <v>C</v>
      </c>
      <c r="M115" s="5" t="str">
        <f t="shared" si="18"/>
        <v>Pass</v>
      </c>
      <c r="N115" s="1" t="str">
        <f t="shared" si="16"/>
        <v>3rd Rank</v>
      </c>
    </row>
    <row r="116" spans="4:14" x14ac:dyDescent="0.3">
      <c r="D116" s="2">
        <v>2312</v>
      </c>
      <c r="E116" s="2" t="s">
        <v>74</v>
      </c>
      <c r="F116" s="2" t="s">
        <v>100</v>
      </c>
      <c r="G116" s="2" t="s">
        <v>104</v>
      </c>
      <c r="H116" s="2">
        <v>52</v>
      </c>
      <c r="I116" s="2">
        <v>36</v>
      </c>
      <c r="J116" s="3">
        <f t="shared" si="17"/>
        <v>88</v>
      </c>
      <c r="K116" s="3">
        <f t="shared" si="15"/>
        <v>44</v>
      </c>
      <c r="L116" s="1" t="str">
        <f t="shared" si="11"/>
        <v>D</v>
      </c>
      <c r="M116" s="5" t="str">
        <f t="shared" si="18"/>
        <v>Fail</v>
      </c>
      <c r="N116" s="1" t="str">
        <f t="shared" si="16"/>
        <v>4th Rank</v>
      </c>
    </row>
    <row r="117" spans="4:14" x14ac:dyDescent="0.3">
      <c r="D117" s="2">
        <v>2050</v>
      </c>
      <c r="E117" s="2" t="s">
        <v>75</v>
      </c>
      <c r="F117" s="2" t="s">
        <v>100</v>
      </c>
      <c r="G117" s="2" t="s">
        <v>101</v>
      </c>
      <c r="H117" s="2">
        <v>35</v>
      </c>
      <c r="I117" s="2">
        <v>69</v>
      </c>
      <c r="J117" s="3">
        <f t="shared" si="17"/>
        <v>104</v>
      </c>
      <c r="K117" s="3">
        <f t="shared" si="15"/>
        <v>52</v>
      </c>
      <c r="L117" s="1" t="str">
        <f t="shared" si="11"/>
        <v>D</v>
      </c>
      <c r="M117" s="5" t="str">
        <f t="shared" si="18"/>
        <v>Fail</v>
      </c>
      <c r="N117" s="1" t="str">
        <f t="shared" si="16"/>
        <v>4th Rank</v>
      </c>
    </row>
    <row r="118" spans="4:14" x14ac:dyDescent="0.3">
      <c r="D118" s="2">
        <v>2033</v>
      </c>
      <c r="E118" s="2" t="s">
        <v>76</v>
      </c>
      <c r="F118" s="2" t="s">
        <v>100</v>
      </c>
      <c r="G118" s="2" t="s">
        <v>101</v>
      </c>
      <c r="H118" s="2">
        <v>71</v>
      </c>
      <c r="I118" s="2">
        <v>96</v>
      </c>
      <c r="J118" s="3">
        <f t="shared" si="17"/>
        <v>167</v>
      </c>
      <c r="K118" s="3">
        <f t="shared" si="15"/>
        <v>83.5</v>
      </c>
      <c r="L118" s="1" t="str">
        <f t="shared" si="11"/>
        <v>B</v>
      </c>
      <c r="M118" s="5" t="str">
        <f t="shared" si="18"/>
        <v>Pass</v>
      </c>
      <c r="N118" s="1" t="str">
        <f t="shared" si="16"/>
        <v>2nd Rank</v>
      </c>
    </row>
    <row r="119" spans="4:14" x14ac:dyDescent="0.3">
      <c r="D119" s="2">
        <v>2034</v>
      </c>
      <c r="E119" s="2" t="s">
        <v>18</v>
      </c>
      <c r="F119" s="2" t="s">
        <v>99</v>
      </c>
      <c r="G119" s="2" t="s">
        <v>104</v>
      </c>
      <c r="H119" s="2">
        <v>45</v>
      </c>
      <c r="I119" s="2">
        <v>85</v>
      </c>
      <c r="J119" s="3">
        <f t="shared" si="17"/>
        <v>130</v>
      </c>
      <c r="K119" s="3">
        <f t="shared" si="15"/>
        <v>65</v>
      </c>
      <c r="L119" s="1" t="str">
        <f t="shared" si="11"/>
        <v>C</v>
      </c>
      <c r="M119" s="5" t="str">
        <f t="shared" si="18"/>
        <v>Pass</v>
      </c>
      <c r="N119" s="1" t="str">
        <f t="shared" si="16"/>
        <v>3rd Rank</v>
      </c>
    </row>
    <row r="120" spans="4:14" x14ac:dyDescent="0.3">
      <c r="D120" s="2">
        <v>2029</v>
      </c>
      <c r="E120" s="2" t="s">
        <v>77</v>
      </c>
      <c r="F120" s="2" t="s">
        <v>99</v>
      </c>
      <c r="G120" s="2" t="s">
        <v>103</v>
      </c>
      <c r="H120" s="2">
        <v>55</v>
      </c>
      <c r="I120" s="2">
        <v>84</v>
      </c>
      <c r="J120" s="3">
        <f t="shared" si="17"/>
        <v>139</v>
      </c>
      <c r="K120" s="3">
        <f t="shared" si="15"/>
        <v>69.5</v>
      </c>
      <c r="L120" s="1" t="str">
        <f t="shared" si="11"/>
        <v>C</v>
      </c>
      <c r="M120" s="5" t="str">
        <f t="shared" si="18"/>
        <v>Pass</v>
      </c>
      <c r="N120" s="1" t="str">
        <f t="shared" si="16"/>
        <v>3rd Rank</v>
      </c>
    </row>
    <row r="121" spans="4:14" x14ac:dyDescent="0.3">
      <c r="D121" s="2">
        <v>2003</v>
      </c>
      <c r="E121" s="2" t="s">
        <v>78</v>
      </c>
      <c r="F121" s="2" t="s">
        <v>99</v>
      </c>
      <c r="G121" s="2" t="s">
        <v>102</v>
      </c>
      <c r="H121" s="2">
        <v>90</v>
      </c>
      <c r="I121" s="2">
        <v>65</v>
      </c>
      <c r="J121" s="3">
        <f t="shared" si="17"/>
        <v>155</v>
      </c>
      <c r="K121" s="3">
        <f t="shared" si="15"/>
        <v>77.5</v>
      </c>
      <c r="L121" s="1" t="str">
        <f t="shared" si="11"/>
        <v>B</v>
      </c>
      <c r="M121" s="5" t="str">
        <f t="shared" si="18"/>
        <v>Pass</v>
      </c>
      <c r="N121" s="1" t="str">
        <f t="shared" si="16"/>
        <v>2nd Rank</v>
      </c>
    </row>
    <row r="122" spans="4:14" x14ac:dyDescent="0.3">
      <c r="D122" s="2">
        <v>2006</v>
      </c>
      <c r="E122" s="2" t="s">
        <v>11</v>
      </c>
      <c r="F122" s="2" t="s">
        <v>99</v>
      </c>
      <c r="G122" s="2" t="s">
        <v>101</v>
      </c>
      <c r="H122" s="2">
        <v>96</v>
      </c>
      <c r="I122" s="2">
        <v>47</v>
      </c>
      <c r="J122" s="3">
        <f t="shared" si="17"/>
        <v>143</v>
      </c>
      <c r="K122" s="3">
        <f t="shared" si="15"/>
        <v>71.5</v>
      </c>
      <c r="L122" s="1" t="str">
        <f t="shared" si="11"/>
        <v>C</v>
      </c>
      <c r="M122" s="5" t="str">
        <f t="shared" si="18"/>
        <v>Pass</v>
      </c>
      <c r="N122" s="1" t="str">
        <f t="shared" si="16"/>
        <v>3rd Rank</v>
      </c>
    </row>
    <row r="123" spans="4:14" x14ac:dyDescent="0.3">
      <c r="D123" s="2">
        <v>2036</v>
      </c>
      <c r="E123" s="2" t="s">
        <v>79</v>
      </c>
      <c r="F123" s="2" t="s">
        <v>99</v>
      </c>
      <c r="G123" s="2" t="s">
        <v>104</v>
      </c>
      <c r="H123" s="2">
        <v>98</v>
      </c>
      <c r="I123" s="2">
        <v>75</v>
      </c>
      <c r="J123" s="3">
        <f t="shared" si="17"/>
        <v>173</v>
      </c>
      <c r="K123" s="3">
        <f t="shared" si="15"/>
        <v>86.5</v>
      </c>
      <c r="L123" s="1" t="str">
        <f t="shared" si="11"/>
        <v>B</v>
      </c>
      <c r="M123" s="5" t="str">
        <f t="shared" si="18"/>
        <v>Pass</v>
      </c>
      <c r="N123" s="1" t="str">
        <f t="shared" si="16"/>
        <v>2nd Rank</v>
      </c>
    </row>
    <row r="124" spans="4:14" x14ac:dyDescent="0.3">
      <c r="D124" s="2">
        <v>2009</v>
      </c>
      <c r="E124" s="2" t="s">
        <v>80</v>
      </c>
      <c r="F124" s="2" t="s">
        <v>100</v>
      </c>
      <c r="G124" s="2" t="s">
        <v>102</v>
      </c>
      <c r="H124" s="2">
        <v>57</v>
      </c>
      <c r="I124" s="2">
        <v>88</v>
      </c>
      <c r="J124" s="3">
        <f t="shared" si="17"/>
        <v>145</v>
      </c>
      <c r="K124" s="3">
        <f t="shared" si="15"/>
        <v>72.5</v>
      </c>
      <c r="L124" s="1" t="str">
        <f t="shared" si="11"/>
        <v>C</v>
      </c>
      <c r="M124" s="5" t="str">
        <f t="shared" si="18"/>
        <v>Pass</v>
      </c>
      <c r="N124" s="1" t="str">
        <f t="shared" si="16"/>
        <v>3rd Rank</v>
      </c>
    </row>
    <row r="125" spans="4:14" x14ac:dyDescent="0.3">
      <c r="D125" s="2">
        <v>2332</v>
      </c>
      <c r="E125" s="2" t="s">
        <v>22</v>
      </c>
      <c r="F125" s="2" t="s">
        <v>100</v>
      </c>
      <c r="G125" s="2" t="s">
        <v>102</v>
      </c>
      <c r="H125" s="2">
        <v>35</v>
      </c>
      <c r="I125" s="2">
        <v>87</v>
      </c>
      <c r="J125" s="3">
        <f t="shared" si="17"/>
        <v>122</v>
      </c>
      <c r="K125" s="3">
        <f t="shared" si="15"/>
        <v>61</v>
      </c>
      <c r="L125" s="1" t="str">
        <f t="shared" si="11"/>
        <v>C</v>
      </c>
      <c r="M125" s="5" t="str">
        <f t="shared" si="18"/>
        <v>Fail</v>
      </c>
      <c r="N125" s="1" t="str">
        <f t="shared" si="16"/>
        <v>3rd Rank</v>
      </c>
    </row>
    <row r="126" spans="4:14" x14ac:dyDescent="0.3">
      <c r="D126" s="2">
        <v>2339</v>
      </c>
      <c r="E126" s="2" t="s">
        <v>17</v>
      </c>
      <c r="F126" s="2" t="s">
        <v>100</v>
      </c>
      <c r="G126" s="2" t="s">
        <v>103</v>
      </c>
      <c r="H126" s="2">
        <v>32</v>
      </c>
      <c r="I126" s="2">
        <v>45</v>
      </c>
      <c r="J126" s="3">
        <f t="shared" si="17"/>
        <v>77</v>
      </c>
      <c r="K126" s="3">
        <f t="shared" si="15"/>
        <v>38.5</v>
      </c>
      <c r="L126" s="1" t="str">
        <f t="shared" si="11"/>
        <v>E</v>
      </c>
      <c r="M126" s="5" t="str">
        <f t="shared" si="18"/>
        <v>Fail</v>
      </c>
      <c r="N126" s="1" t="str">
        <f t="shared" si="16"/>
        <v>5th Rank</v>
      </c>
    </row>
    <row r="127" spans="4:14" x14ac:dyDescent="0.3">
      <c r="D127" s="2">
        <v>2643</v>
      </c>
      <c r="E127" s="2" t="s">
        <v>20</v>
      </c>
      <c r="F127" s="2" t="s">
        <v>99</v>
      </c>
      <c r="G127" s="2" t="s">
        <v>101</v>
      </c>
      <c r="H127" s="2">
        <v>41</v>
      </c>
      <c r="I127" s="2">
        <v>44</v>
      </c>
      <c r="J127" s="3">
        <f t="shared" si="17"/>
        <v>85</v>
      </c>
      <c r="K127" s="3">
        <f t="shared" si="15"/>
        <v>42.5</v>
      </c>
      <c r="L127" s="1" t="str">
        <f t="shared" si="11"/>
        <v>D</v>
      </c>
      <c r="M127" s="5" t="str">
        <f t="shared" si="18"/>
        <v>Pass</v>
      </c>
      <c r="N127" s="1" t="str">
        <f t="shared" si="16"/>
        <v>4th Rank</v>
      </c>
    </row>
    <row r="128" spans="4:14" x14ac:dyDescent="0.3">
      <c r="D128" s="2">
        <v>2412</v>
      </c>
      <c r="E128" s="2" t="s">
        <v>47</v>
      </c>
      <c r="F128" s="2" t="s">
        <v>99</v>
      </c>
      <c r="G128" s="2" t="s">
        <v>101</v>
      </c>
      <c r="H128" s="2">
        <v>69</v>
      </c>
      <c r="I128" s="2">
        <v>44</v>
      </c>
      <c r="J128" s="3">
        <f t="shared" si="17"/>
        <v>113</v>
      </c>
      <c r="K128" s="3">
        <f t="shared" si="15"/>
        <v>56.5</v>
      </c>
      <c r="L128" s="1" t="str">
        <f t="shared" si="11"/>
        <v>C</v>
      </c>
      <c r="M128" s="5" t="str">
        <f t="shared" si="18"/>
        <v>Pass</v>
      </c>
      <c r="N128" s="1" t="str">
        <f t="shared" si="16"/>
        <v>3rd Rank</v>
      </c>
    </row>
    <row r="129" spans="4:17" x14ac:dyDescent="0.3">
      <c r="D129" s="2">
        <v>2815</v>
      </c>
      <c r="E129" s="2" t="s">
        <v>81</v>
      </c>
      <c r="F129" s="2" t="s">
        <v>99</v>
      </c>
      <c r="G129" s="2" t="s">
        <v>101</v>
      </c>
      <c r="H129" s="2">
        <v>38</v>
      </c>
      <c r="I129" s="2">
        <v>42</v>
      </c>
      <c r="J129" s="3">
        <f t="shared" si="17"/>
        <v>80</v>
      </c>
      <c r="K129" s="3">
        <f t="shared" si="15"/>
        <v>40</v>
      </c>
      <c r="L129" s="1" t="str">
        <f t="shared" si="11"/>
        <v>E</v>
      </c>
      <c r="M129" s="5" t="str">
        <f t="shared" si="18"/>
        <v>Fail</v>
      </c>
      <c r="N129" s="1" t="str">
        <f t="shared" si="16"/>
        <v>5th Rank</v>
      </c>
    </row>
    <row r="130" spans="4:17" x14ac:dyDescent="0.3">
      <c r="D130" s="2">
        <v>2794</v>
      </c>
      <c r="E130" s="2" t="s">
        <v>82</v>
      </c>
      <c r="F130" s="2" t="s">
        <v>99</v>
      </c>
      <c r="G130" s="2" t="s">
        <v>106</v>
      </c>
      <c r="H130" s="2">
        <v>65</v>
      </c>
      <c r="I130" s="2">
        <v>40</v>
      </c>
      <c r="J130" s="3">
        <f t="shared" si="17"/>
        <v>105</v>
      </c>
      <c r="K130" s="3">
        <f t="shared" si="15"/>
        <v>52.5</v>
      </c>
      <c r="L130" s="1" t="str">
        <f t="shared" si="11"/>
        <v>D</v>
      </c>
      <c r="M130" s="5" t="str">
        <f t="shared" si="18"/>
        <v>Fail</v>
      </c>
      <c r="N130" s="1" t="str">
        <f t="shared" si="16"/>
        <v>4th Rank</v>
      </c>
    </row>
    <row r="131" spans="4:17" x14ac:dyDescent="0.3">
      <c r="D131" s="2">
        <v>2039</v>
      </c>
      <c r="E131" s="2" t="s">
        <v>76</v>
      </c>
      <c r="F131" s="2" t="s">
        <v>100</v>
      </c>
      <c r="G131" s="2" t="s">
        <v>106</v>
      </c>
      <c r="H131" s="2">
        <v>40</v>
      </c>
      <c r="I131" s="2">
        <v>51</v>
      </c>
      <c r="J131" s="3">
        <f t="shared" si="17"/>
        <v>91</v>
      </c>
      <c r="K131" s="3">
        <f t="shared" si="15"/>
        <v>45.5</v>
      </c>
      <c r="L131" s="1" t="str">
        <f t="shared" si="11"/>
        <v>D</v>
      </c>
      <c r="M131" s="5" t="str">
        <f t="shared" si="18"/>
        <v>Fail</v>
      </c>
      <c r="N131" s="1" t="str">
        <f t="shared" si="16"/>
        <v>4th Rank</v>
      </c>
    </row>
    <row r="132" spans="4:17" x14ac:dyDescent="0.3">
      <c r="D132" s="2">
        <v>2032</v>
      </c>
      <c r="E132" s="2" t="s">
        <v>20</v>
      </c>
      <c r="F132" s="2" t="s">
        <v>99</v>
      </c>
      <c r="G132" s="2" t="s">
        <v>101</v>
      </c>
      <c r="H132" s="2">
        <v>44</v>
      </c>
      <c r="I132" s="2">
        <v>50</v>
      </c>
      <c r="J132" s="3">
        <f t="shared" si="17"/>
        <v>94</v>
      </c>
      <c r="K132" s="3">
        <f t="shared" si="15"/>
        <v>47</v>
      </c>
      <c r="L132" s="1" t="str">
        <f t="shared" si="11"/>
        <v>D</v>
      </c>
      <c r="M132" s="5" t="str">
        <f t="shared" si="18"/>
        <v>Pass</v>
      </c>
      <c r="N132" s="1" t="str">
        <f t="shared" si="16"/>
        <v>4th Rank</v>
      </c>
    </row>
    <row r="133" spans="4:17" x14ac:dyDescent="0.3">
      <c r="D133" s="2">
        <v>2503</v>
      </c>
      <c r="E133" s="2" t="s">
        <v>52</v>
      </c>
      <c r="F133" s="2" t="s">
        <v>100</v>
      </c>
      <c r="G133" s="2" t="s">
        <v>104</v>
      </c>
      <c r="H133" s="2">
        <v>70</v>
      </c>
      <c r="I133" s="2">
        <v>56</v>
      </c>
      <c r="J133" s="3">
        <f t="shared" si="17"/>
        <v>126</v>
      </c>
      <c r="K133" s="3">
        <f t="shared" si="15"/>
        <v>63</v>
      </c>
      <c r="L133" s="1" t="str">
        <f t="shared" si="11"/>
        <v>C</v>
      </c>
      <c r="M133" s="5" t="str">
        <f t="shared" si="18"/>
        <v>Pass</v>
      </c>
      <c r="N133" s="1" t="str">
        <f t="shared" si="16"/>
        <v>3rd Rank</v>
      </c>
    </row>
    <row r="134" spans="4:17" x14ac:dyDescent="0.3">
      <c r="D134" s="2">
        <v>2403</v>
      </c>
      <c r="E134" s="2" t="s">
        <v>8</v>
      </c>
      <c r="F134" s="2" t="s">
        <v>99</v>
      </c>
      <c r="G134" s="2" t="s">
        <v>103</v>
      </c>
      <c r="H134" s="2">
        <v>45</v>
      </c>
      <c r="I134" s="2">
        <v>86</v>
      </c>
      <c r="J134" s="3">
        <f t="shared" si="17"/>
        <v>131</v>
      </c>
      <c r="K134" s="3">
        <f t="shared" ref="K134:K158" si="19">AVERAGE(H134:I134)</f>
        <v>65.5</v>
      </c>
      <c r="L134" s="1" t="str">
        <f t="shared" si="11"/>
        <v>C</v>
      </c>
      <c r="M134" s="5" t="str">
        <f t="shared" si="18"/>
        <v>Pass</v>
      </c>
      <c r="N134" s="1" t="str">
        <f t="shared" ref="N134:N158" si="20">IF(K134&gt;=90,"1st Rank",IF(K134&gt;=75,"2nd Rank",IF(K134&gt;=56,"3rd Rank",IF(K134&gt;=41,"4th Rank","5th Rank"))))</f>
        <v>3rd Rank</v>
      </c>
    </row>
    <row r="135" spans="4:17" x14ac:dyDescent="0.3">
      <c r="D135" s="2">
        <v>2600</v>
      </c>
      <c r="E135" s="2" t="s">
        <v>44</v>
      </c>
      <c r="F135" s="2" t="s">
        <v>100</v>
      </c>
      <c r="G135" s="2" t="s">
        <v>106</v>
      </c>
      <c r="H135" s="2">
        <v>48</v>
      </c>
      <c r="I135" s="2">
        <v>75</v>
      </c>
      <c r="J135" s="3">
        <f t="shared" si="17"/>
        <v>123</v>
      </c>
      <c r="K135" s="3">
        <f t="shared" si="19"/>
        <v>61.5</v>
      </c>
      <c r="L135" s="1" t="str">
        <f t="shared" ref="L135:L158" si="21">IF(AVERAGE(H135:I135)&gt;=90,"A",IF(AVERAGE(H135:I135)&gt;=75,"B",IF(AVERAGE(H135:I135)&gt;=56,"C",IF(AVERAGE(H135:I135)&gt;=41,"D","E"))))</f>
        <v>C</v>
      </c>
      <c r="M135" s="5" t="str">
        <f t="shared" si="18"/>
        <v>Pass</v>
      </c>
      <c r="N135" s="1" t="str">
        <f t="shared" si="20"/>
        <v>3rd Rank</v>
      </c>
    </row>
    <row r="136" spans="4:17" x14ac:dyDescent="0.3">
      <c r="D136" s="2">
        <v>2419</v>
      </c>
      <c r="E136" s="2" t="s">
        <v>83</v>
      </c>
      <c r="F136" s="2" t="s">
        <v>99</v>
      </c>
      <c r="G136" s="2" t="s">
        <v>102</v>
      </c>
      <c r="H136" s="2">
        <v>26</v>
      </c>
      <c r="I136" s="2">
        <v>77</v>
      </c>
      <c r="J136" s="3">
        <f t="shared" si="17"/>
        <v>103</v>
      </c>
      <c r="K136" s="3">
        <f t="shared" si="19"/>
        <v>51.5</v>
      </c>
      <c r="L136" s="1" t="str">
        <f t="shared" si="21"/>
        <v>D</v>
      </c>
      <c r="M136" s="5" t="str">
        <f>IF(AND(H136&gt;=41,I136&gt;=42),"Pass","Fail")</f>
        <v>Fail</v>
      </c>
      <c r="N136" s="1" t="str">
        <f t="shared" si="20"/>
        <v>4th Rank</v>
      </c>
    </row>
    <row r="137" spans="4:17" x14ac:dyDescent="0.3">
      <c r="D137" s="2">
        <v>2619</v>
      </c>
      <c r="E137" s="2" t="s">
        <v>84</v>
      </c>
      <c r="F137" s="2" t="s">
        <v>99</v>
      </c>
      <c r="G137" s="2" t="s">
        <v>103</v>
      </c>
      <c r="H137" s="2">
        <v>29</v>
      </c>
      <c r="I137" s="2">
        <v>26</v>
      </c>
      <c r="J137" s="3">
        <f t="shared" si="17"/>
        <v>55</v>
      </c>
      <c r="K137" s="3">
        <f t="shared" si="19"/>
        <v>27.5</v>
      </c>
      <c r="L137" s="1" t="str">
        <f t="shared" si="21"/>
        <v>E</v>
      </c>
      <c r="M137" s="5" t="str">
        <f t="shared" ref="M137:M158" si="22">IF(AND(H137&gt;=41,I137&gt;=42),"Pass","Fail")</f>
        <v>Fail</v>
      </c>
      <c r="N137" s="1" t="str">
        <f t="shared" si="20"/>
        <v>5th Rank</v>
      </c>
    </row>
    <row r="138" spans="4:17" x14ac:dyDescent="0.3">
      <c r="D138" s="2">
        <v>2600</v>
      </c>
      <c r="E138" s="2" t="s">
        <v>16</v>
      </c>
      <c r="F138" s="2" t="s">
        <v>100</v>
      </c>
      <c r="G138" s="2" t="s">
        <v>104</v>
      </c>
      <c r="H138" s="2">
        <v>22</v>
      </c>
      <c r="I138" s="2">
        <v>24</v>
      </c>
      <c r="J138" s="3">
        <f t="shared" ref="J138:J158" si="23">SUM(H138:I138)</f>
        <v>46</v>
      </c>
      <c r="K138" s="3">
        <f t="shared" si="19"/>
        <v>23</v>
      </c>
      <c r="L138" s="1" t="str">
        <f t="shared" si="21"/>
        <v>E</v>
      </c>
      <c r="M138" s="5" t="str">
        <f t="shared" si="22"/>
        <v>Fail</v>
      </c>
      <c r="N138" s="1" t="str">
        <f t="shared" si="20"/>
        <v>5th Rank</v>
      </c>
    </row>
    <row r="139" spans="4:17" x14ac:dyDescent="0.3">
      <c r="D139" s="2">
        <v>3001</v>
      </c>
      <c r="E139" s="2" t="s">
        <v>85</v>
      </c>
      <c r="F139" s="2" t="s">
        <v>100</v>
      </c>
      <c r="G139" s="2" t="s">
        <v>106</v>
      </c>
      <c r="H139" s="2">
        <v>25</v>
      </c>
      <c r="I139" s="2">
        <v>59</v>
      </c>
      <c r="J139" s="3">
        <f t="shared" si="23"/>
        <v>84</v>
      </c>
      <c r="K139" s="3">
        <f t="shared" si="19"/>
        <v>42</v>
      </c>
      <c r="L139" s="1" t="str">
        <f t="shared" si="21"/>
        <v>D</v>
      </c>
      <c r="M139" s="5" t="str">
        <f t="shared" si="22"/>
        <v>Fail</v>
      </c>
      <c r="N139" s="1" t="str">
        <f t="shared" si="20"/>
        <v>4th Rank</v>
      </c>
    </row>
    <row r="140" spans="4:17" x14ac:dyDescent="0.3">
      <c r="D140" s="2">
        <v>3006</v>
      </c>
      <c r="E140" s="2" t="s">
        <v>86</v>
      </c>
      <c r="F140" s="2" t="s">
        <v>100</v>
      </c>
      <c r="G140" s="2" t="s">
        <v>103</v>
      </c>
      <c r="H140" s="2">
        <v>58</v>
      </c>
      <c r="I140" s="2">
        <v>91</v>
      </c>
      <c r="J140" s="3">
        <f t="shared" si="23"/>
        <v>149</v>
      </c>
      <c r="K140" s="3">
        <f t="shared" si="19"/>
        <v>74.5</v>
      </c>
      <c r="L140" s="1" t="str">
        <f t="shared" si="21"/>
        <v>C</v>
      </c>
      <c r="M140" s="5" t="str">
        <f t="shared" si="22"/>
        <v>Pass</v>
      </c>
      <c r="N140" s="1" t="str">
        <f t="shared" si="20"/>
        <v>3rd Rank</v>
      </c>
    </row>
    <row r="141" spans="4:17" x14ac:dyDescent="0.3">
      <c r="D141" s="2">
        <v>3005</v>
      </c>
      <c r="E141" s="2" t="s">
        <v>87</v>
      </c>
      <c r="F141" s="2" t="s">
        <v>100</v>
      </c>
      <c r="G141" s="2" t="s">
        <v>101</v>
      </c>
      <c r="H141" s="2">
        <v>59</v>
      </c>
      <c r="I141" s="2">
        <v>95</v>
      </c>
      <c r="J141" s="3">
        <f t="shared" si="23"/>
        <v>154</v>
      </c>
      <c r="K141" s="3">
        <f t="shared" si="19"/>
        <v>77</v>
      </c>
      <c r="L141" s="1" t="str">
        <f t="shared" si="21"/>
        <v>B</v>
      </c>
      <c r="M141" s="5" t="str">
        <f t="shared" si="22"/>
        <v>Pass</v>
      </c>
      <c r="N141" s="1" t="str">
        <f t="shared" si="20"/>
        <v>2nd Rank</v>
      </c>
      <c r="Q141" s="4" t="s">
        <v>119</v>
      </c>
    </row>
    <row r="142" spans="4:17" x14ac:dyDescent="0.3">
      <c r="D142" s="2">
        <v>3010</v>
      </c>
      <c r="E142" s="2" t="s">
        <v>88</v>
      </c>
      <c r="F142" s="2" t="s">
        <v>100</v>
      </c>
      <c r="G142" s="2" t="s">
        <v>102</v>
      </c>
      <c r="H142" s="2">
        <v>68</v>
      </c>
      <c r="I142" s="2">
        <v>75</v>
      </c>
      <c r="J142" s="3">
        <f t="shared" si="23"/>
        <v>143</v>
      </c>
      <c r="K142" s="3">
        <f t="shared" si="19"/>
        <v>71.5</v>
      </c>
      <c r="L142" s="1" t="str">
        <f t="shared" si="21"/>
        <v>C</v>
      </c>
      <c r="M142" s="5" t="str">
        <f t="shared" si="22"/>
        <v>Pass</v>
      </c>
      <c r="N142" s="1" t="str">
        <f t="shared" si="20"/>
        <v>3rd Rank</v>
      </c>
    </row>
    <row r="143" spans="4:17" x14ac:dyDescent="0.3">
      <c r="D143" s="2">
        <v>3019</v>
      </c>
      <c r="E143" s="2" t="s">
        <v>89</v>
      </c>
      <c r="F143" s="2" t="s">
        <v>99</v>
      </c>
      <c r="G143" s="2" t="s">
        <v>106</v>
      </c>
      <c r="H143" s="2">
        <v>39</v>
      </c>
      <c r="I143" s="2">
        <v>77</v>
      </c>
      <c r="J143" s="3">
        <f t="shared" si="23"/>
        <v>116</v>
      </c>
      <c r="K143" s="3">
        <f t="shared" si="19"/>
        <v>58</v>
      </c>
      <c r="L143" s="1" t="str">
        <f t="shared" si="21"/>
        <v>C</v>
      </c>
      <c r="M143" s="5" t="str">
        <f t="shared" si="22"/>
        <v>Fail</v>
      </c>
      <c r="N143" s="1" t="str">
        <f t="shared" si="20"/>
        <v>3rd Rank</v>
      </c>
    </row>
    <row r="144" spans="4:17" x14ac:dyDescent="0.3">
      <c r="D144" s="2">
        <v>3020</v>
      </c>
      <c r="E144" s="2" t="s">
        <v>90</v>
      </c>
      <c r="F144" s="2" t="s">
        <v>100</v>
      </c>
      <c r="G144" s="2" t="s">
        <v>106</v>
      </c>
      <c r="H144" s="2">
        <v>44</v>
      </c>
      <c r="I144" s="2">
        <v>68</v>
      </c>
      <c r="J144" s="3">
        <f t="shared" si="23"/>
        <v>112</v>
      </c>
      <c r="K144" s="3">
        <f t="shared" si="19"/>
        <v>56</v>
      </c>
      <c r="L144" s="1" t="str">
        <f t="shared" si="21"/>
        <v>C</v>
      </c>
      <c r="M144" s="5" t="str">
        <f t="shared" si="22"/>
        <v>Pass</v>
      </c>
      <c r="N144" s="1" t="str">
        <f t="shared" si="20"/>
        <v>3rd Rank</v>
      </c>
    </row>
    <row r="145" spans="4:14" x14ac:dyDescent="0.3">
      <c r="D145" s="2">
        <v>3018</v>
      </c>
      <c r="E145" s="2" t="s">
        <v>91</v>
      </c>
      <c r="F145" s="2" t="s">
        <v>100</v>
      </c>
      <c r="G145" s="2" t="s">
        <v>101</v>
      </c>
      <c r="H145" s="2">
        <v>89</v>
      </c>
      <c r="I145" s="2">
        <v>67</v>
      </c>
      <c r="J145" s="3">
        <f t="shared" si="23"/>
        <v>156</v>
      </c>
      <c r="K145" s="3">
        <f t="shared" si="19"/>
        <v>78</v>
      </c>
      <c r="L145" s="1" t="str">
        <f t="shared" si="21"/>
        <v>B</v>
      </c>
      <c r="M145" s="5" t="str">
        <f t="shared" si="22"/>
        <v>Pass</v>
      </c>
      <c r="N145" s="1" t="str">
        <f t="shared" si="20"/>
        <v>2nd Rank</v>
      </c>
    </row>
    <row r="146" spans="4:14" x14ac:dyDescent="0.3">
      <c r="D146" s="2">
        <v>3026</v>
      </c>
      <c r="E146" s="2" t="s">
        <v>92</v>
      </c>
      <c r="F146" s="2" t="s">
        <v>100</v>
      </c>
      <c r="G146" s="2" t="s">
        <v>102</v>
      </c>
      <c r="H146" s="2">
        <v>97</v>
      </c>
      <c r="I146" s="2">
        <v>62</v>
      </c>
      <c r="J146" s="3">
        <f t="shared" si="23"/>
        <v>159</v>
      </c>
      <c r="K146" s="3">
        <f t="shared" si="19"/>
        <v>79.5</v>
      </c>
      <c r="L146" s="1" t="str">
        <f t="shared" si="21"/>
        <v>B</v>
      </c>
      <c r="M146" s="5" t="str">
        <f t="shared" si="22"/>
        <v>Pass</v>
      </c>
      <c r="N146" s="1" t="str">
        <f t="shared" si="20"/>
        <v>2nd Rank</v>
      </c>
    </row>
    <row r="147" spans="4:14" x14ac:dyDescent="0.3">
      <c r="D147" s="2">
        <v>3008</v>
      </c>
      <c r="E147" s="2" t="s">
        <v>47</v>
      </c>
      <c r="F147" s="2" t="s">
        <v>99</v>
      </c>
      <c r="G147" s="2" t="s">
        <v>103</v>
      </c>
      <c r="H147" s="2">
        <v>75</v>
      </c>
      <c r="I147" s="2">
        <v>66</v>
      </c>
      <c r="J147" s="3">
        <f t="shared" si="23"/>
        <v>141</v>
      </c>
      <c r="K147" s="3">
        <f t="shared" si="19"/>
        <v>70.5</v>
      </c>
      <c r="L147" s="1" t="str">
        <f t="shared" si="21"/>
        <v>C</v>
      </c>
      <c r="M147" s="5" t="str">
        <f t="shared" si="22"/>
        <v>Pass</v>
      </c>
      <c r="N147" s="1" t="str">
        <f t="shared" si="20"/>
        <v>3rd Rank</v>
      </c>
    </row>
    <row r="148" spans="4:14" x14ac:dyDescent="0.3">
      <c r="D148" s="2">
        <v>3027</v>
      </c>
      <c r="E148" s="2" t="s">
        <v>54</v>
      </c>
      <c r="F148" s="2" t="s">
        <v>100</v>
      </c>
      <c r="G148" s="2" t="s">
        <v>104</v>
      </c>
      <c r="H148" s="2">
        <v>68</v>
      </c>
      <c r="I148" s="2">
        <v>66</v>
      </c>
      <c r="J148" s="3">
        <f t="shared" si="23"/>
        <v>134</v>
      </c>
      <c r="K148" s="3">
        <f t="shared" si="19"/>
        <v>67</v>
      </c>
      <c r="L148" s="1" t="str">
        <f t="shared" si="21"/>
        <v>C</v>
      </c>
      <c r="M148" s="5" t="str">
        <f t="shared" si="22"/>
        <v>Pass</v>
      </c>
      <c r="N148" s="1" t="str">
        <f t="shared" si="20"/>
        <v>3rd Rank</v>
      </c>
    </row>
    <row r="149" spans="4:14" x14ac:dyDescent="0.3">
      <c r="D149" s="2">
        <v>3115</v>
      </c>
      <c r="E149" s="2" t="s">
        <v>93</v>
      </c>
      <c r="F149" s="2" t="s">
        <v>100</v>
      </c>
      <c r="G149" s="2" t="s">
        <v>104</v>
      </c>
      <c r="H149" s="2">
        <v>63</v>
      </c>
      <c r="I149" s="2">
        <v>60</v>
      </c>
      <c r="J149" s="3">
        <f t="shared" si="23"/>
        <v>123</v>
      </c>
      <c r="K149" s="3">
        <f t="shared" si="19"/>
        <v>61.5</v>
      </c>
      <c r="L149" s="1" t="str">
        <f t="shared" si="21"/>
        <v>C</v>
      </c>
      <c r="M149" s="5" t="str">
        <f t="shared" si="22"/>
        <v>Pass</v>
      </c>
      <c r="N149" s="1" t="str">
        <f t="shared" si="20"/>
        <v>3rd Rank</v>
      </c>
    </row>
    <row r="150" spans="4:14" x14ac:dyDescent="0.3">
      <c r="D150" s="2">
        <v>3026</v>
      </c>
      <c r="E150" s="2" t="s">
        <v>94</v>
      </c>
      <c r="F150" s="2" t="s">
        <v>99</v>
      </c>
      <c r="G150" s="2" t="s">
        <v>101</v>
      </c>
      <c r="H150" s="2">
        <v>60</v>
      </c>
      <c r="I150" s="2">
        <v>26</v>
      </c>
      <c r="J150" s="3">
        <f t="shared" si="23"/>
        <v>86</v>
      </c>
      <c r="K150" s="3">
        <f t="shared" si="19"/>
        <v>43</v>
      </c>
      <c r="L150" s="1" t="str">
        <f t="shared" si="21"/>
        <v>D</v>
      </c>
      <c r="M150" s="5" t="str">
        <f t="shared" si="22"/>
        <v>Fail</v>
      </c>
      <c r="N150" s="1" t="str">
        <f t="shared" si="20"/>
        <v>4th Rank</v>
      </c>
    </row>
    <row r="151" spans="4:14" x14ac:dyDescent="0.3">
      <c r="D151" s="2">
        <v>3029</v>
      </c>
      <c r="E151" s="2" t="s">
        <v>61</v>
      </c>
      <c r="F151" s="2" t="s">
        <v>99</v>
      </c>
      <c r="G151" s="2" t="s">
        <v>101</v>
      </c>
      <c r="H151" s="2">
        <v>60</v>
      </c>
      <c r="I151" s="2">
        <v>50</v>
      </c>
      <c r="J151" s="3">
        <f t="shared" si="23"/>
        <v>110</v>
      </c>
      <c r="K151" s="3">
        <f t="shared" si="19"/>
        <v>55</v>
      </c>
      <c r="L151" s="1" t="str">
        <f t="shared" si="21"/>
        <v>D</v>
      </c>
      <c r="M151" s="5" t="str">
        <f t="shared" si="22"/>
        <v>Pass</v>
      </c>
      <c r="N151" s="1" t="str">
        <f t="shared" si="20"/>
        <v>4th Rank</v>
      </c>
    </row>
    <row r="152" spans="4:14" x14ac:dyDescent="0.3">
      <c r="D152" s="2">
        <v>3151</v>
      </c>
      <c r="E152" s="2" t="s">
        <v>95</v>
      </c>
      <c r="F152" s="2" t="s">
        <v>99</v>
      </c>
      <c r="G152" s="2" t="s">
        <v>101</v>
      </c>
      <c r="H152" s="2">
        <v>66</v>
      </c>
      <c r="I152" s="2">
        <v>58</v>
      </c>
      <c r="J152" s="3">
        <f t="shared" si="23"/>
        <v>124</v>
      </c>
      <c r="K152" s="3">
        <f t="shared" si="19"/>
        <v>62</v>
      </c>
      <c r="L152" s="1" t="str">
        <f t="shared" si="21"/>
        <v>C</v>
      </c>
      <c r="M152" s="5" t="str">
        <f t="shared" si="22"/>
        <v>Pass</v>
      </c>
      <c r="N152" s="1" t="str">
        <f t="shared" si="20"/>
        <v>3rd Rank</v>
      </c>
    </row>
    <row r="153" spans="4:14" x14ac:dyDescent="0.3">
      <c r="D153" s="2">
        <v>3246</v>
      </c>
      <c r="E153" s="2" t="s">
        <v>96</v>
      </c>
      <c r="F153" s="2" t="s">
        <v>99</v>
      </c>
      <c r="G153" s="2" t="s">
        <v>102</v>
      </c>
      <c r="H153" s="2">
        <v>51</v>
      </c>
      <c r="I153" s="2">
        <v>74</v>
      </c>
      <c r="J153" s="3">
        <f t="shared" si="23"/>
        <v>125</v>
      </c>
      <c r="K153" s="3">
        <f t="shared" si="19"/>
        <v>62.5</v>
      </c>
      <c r="L153" s="1" t="str">
        <f t="shared" si="21"/>
        <v>C</v>
      </c>
      <c r="M153" s="5" t="str">
        <f t="shared" si="22"/>
        <v>Pass</v>
      </c>
      <c r="N153" s="1" t="str">
        <f t="shared" si="20"/>
        <v>3rd Rank</v>
      </c>
    </row>
    <row r="154" spans="4:14" x14ac:dyDescent="0.3">
      <c r="D154" s="2">
        <v>3221</v>
      </c>
      <c r="E154" s="2" t="s">
        <v>97</v>
      </c>
      <c r="F154" s="2" t="s">
        <v>99</v>
      </c>
      <c r="G154" s="2" t="s">
        <v>103</v>
      </c>
      <c r="H154" s="2">
        <v>55</v>
      </c>
      <c r="I154" s="2">
        <v>91</v>
      </c>
      <c r="J154" s="3">
        <f t="shared" si="23"/>
        <v>146</v>
      </c>
      <c r="K154" s="3">
        <f t="shared" si="19"/>
        <v>73</v>
      </c>
      <c r="L154" s="1" t="str">
        <f t="shared" si="21"/>
        <v>C</v>
      </c>
      <c r="M154" s="5" t="str">
        <f t="shared" si="22"/>
        <v>Pass</v>
      </c>
      <c r="N154" s="1" t="str">
        <f t="shared" si="20"/>
        <v>3rd Rank</v>
      </c>
    </row>
    <row r="155" spans="4:14" x14ac:dyDescent="0.3">
      <c r="D155" s="2">
        <v>3200</v>
      </c>
      <c r="E155" s="2" t="s">
        <v>98</v>
      </c>
      <c r="F155" s="2" t="s">
        <v>100</v>
      </c>
      <c r="G155" s="2" t="s">
        <v>106</v>
      </c>
      <c r="H155" s="2">
        <v>84</v>
      </c>
      <c r="I155" s="2">
        <v>25</v>
      </c>
      <c r="J155" s="3">
        <f t="shared" si="23"/>
        <v>109</v>
      </c>
      <c r="K155" s="3">
        <f t="shared" si="19"/>
        <v>54.5</v>
      </c>
      <c r="L155" s="1" t="str">
        <f t="shared" si="21"/>
        <v>D</v>
      </c>
      <c r="M155" s="5" t="str">
        <f t="shared" si="22"/>
        <v>Fail</v>
      </c>
      <c r="N155" s="1" t="str">
        <f t="shared" si="20"/>
        <v>4th Rank</v>
      </c>
    </row>
    <row r="156" spans="4:14" x14ac:dyDescent="0.3">
      <c r="D156" s="2">
        <v>3201</v>
      </c>
      <c r="E156" s="2" t="s">
        <v>121</v>
      </c>
      <c r="F156" s="2" t="s">
        <v>100</v>
      </c>
      <c r="G156" s="2" t="s">
        <v>101</v>
      </c>
      <c r="H156" s="2">
        <v>90</v>
      </c>
      <c r="I156" s="2">
        <v>66</v>
      </c>
      <c r="J156" s="2">
        <f t="shared" si="23"/>
        <v>156</v>
      </c>
      <c r="K156" s="2">
        <f t="shared" si="19"/>
        <v>78</v>
      </c>
      <c r="L156" s="1" t="str">
        <f t="shared" si="21"/>
        <v>B</v>
      </c>
      <c r="M156" s="1" t="str">
        <f t="shared" si="22"/>
        <v>Pass</v>
      </c>
      <c r="N156" s="1" t="str">
        <f t="shared" si="20"/>
        <v>2nd Rank</v>
      </c>
    </row>
    <row r="157" spans="4:14" x14ac:dyDescent="0.3">
      <c r="D157" s="2">
        <v>3564</v>
      </c>
      <c r="E157" s="2" t="s">
        <v>122</v>
      </c>
      <c r="F157" s="2" t="s">
        <v>100</v>
      </c>
      <c r="G157" s="2" t="s">
        <v>103</v>
      </c>
      <c r="H157" s="2">
        <v>55</v>
      </c>
      <c r="I157" s="2">
        <v>94</v>
      </c>
      <c r="J157" s="2">
        <f t="shared" si="23"/>
        <v>149</v>
      </c>
      <c r="K157" s="2">
        <f t="shared" si="19"/>
        <v>74.5</v>
      </c>
      <c r="L157" s="1" t="str">
        <f t="shared" si="21"/>
        <v>C</v>
      </c>
      <c r="M157" s="1" t="str">
        <f t="shared" si="22"/>
        <v>Pass</v>
      </c>
      <c r="N157" s="1" t="str">
        <f t="shared" si="20"/>
        <v>3rd Rank</v>
      </c>
    </row>
    <row r="158" spans="4:14" x14ac:dyDescent="0.3">
      <c r="D158" s="2">
        <v>3265</v>
      </c>
      <c r="E158" s="2" t="s">
        <v>123</v>
      </c>
      <c r="F158" s="2" t="s">
        <v>100</v>
      </c>
      <c r="G158" s="2" t="s">
        <v>101</v>
      </c>
      <c r="H158" s="2">
        <v>94</v>
      </c>
      <c r="I158" s="2">
        <v>78</v>
      </c>
      <c r="J158" s="2">
        <f t="shared" si="23"/>
        <v>172</v>
      </c>
      <c r="K158" s="2">
        <f t="shared" si="19"/>
        <v>86</v>
      </c>
      <c r="L158" s="1" t="str">
        <f t="shared" si="21"/>
        <v>B</v>
      </c>
      <c r="M158" s="1" t="str">
        <f t="shared" si="22"/>
        <v>Pass</v>
      </c>
      <c r="N158" s="1" t="str">
        <f t="shared" si="20"/>
        <v>2nd Rank</v>
      </c>
    </row>
  </sheetData>
  <conditionalFormatting sqref="M6:M155">
    <cfRule type="containsText" dxfId="32" priority="33" operator="containsText" text="Fail">
      <formula>NOT(ISERROR(SEARCH("Fail",M6)))</formula>
    </cfRule>
    <cfRule type="containsText" dxfId="31" priority="34" operator="containsText" text="Pass">
      <formula>NOT(ISERROR(SEARCH("Pass",M6)))</formula>
    </cfRule>
  </conditionalFormatting>
  <conditionalFormatting sqref="L6:L155">
    <cfRule type="containsText" dxfId="30" priority="13" operator="containsText" text="D">
      <formula>NOT(ISERROR(SEARCH("D",L6)))</formula>
    </cfRule>
    <cfRule type="containsText" dxfId="29" priority="26" operator="containsText" text="B">
      <formula>NOT(ISERROR(SEARCH("B",L6)))</formula>
    </cfRule>
    <cfRule type="containsText" dxfId="28" priority="27" operator="containsText" text="E">
      <formula>NOT(ISERROR(SEARCH("E",L6)))</formula>
    </cfRule>
    <cfRule type="containsText" dxfId="27" priority="28" operator="containsText" text="B">
      <formula>NOT(ISERROR(SEARCH("B",L6)))</formula>
    </cfRule>
    <cfRule type="containsText" dxfId="26" priority="29" operator="containsText" text="D">
      <formula>NOT(ISERROR(SEARCH("D",L6)))</formula>
    </cfRule>
    <cfRule type="containsText" dxfId="25" priority="30" operator="containsText" text="C">
      <formula>NOT(ISERROR(SEARCH("C",L6)))</formula>
    </cfRule>
    <cfRule type="containsText" dxfId="24" priority="31" operator="containsText" text="B">
      <formula>NOT(ISERROR(SEARCH("B",L6)))</formula>
    </cfRule>
    <cfRule type="containsText" dxfId="23" priority="32" operator="containsText" text="A">
      <formula>NOT(ISERROR(SEARCH("A",L6)))</formula>
    </cfRule>
  </conditionalFormatting>
  <conditionalFormatting sqref="F5">
    <cfRule type="containsText" dxfId="22" priority="25" operator="containsText" text="GENDER">
      <formula>NOT(ISERROR(SEARCH("GENDER",F5)))</formula>
    </cfRule>
  </conditionalFormatting>
  <conditionalFormatting sqref="G5">
    <cfRule type="containsText" dxfId="21" priority="24" operator="containsText" text="DEPARTMENT">
      <formula>NOT(ISERROR(SEARCH("DEPARTMENT",G5)))</formula>
    </cfRule>
  </conditionalFormatting>
  <conditionalFormatting sqref="H5">
    <cfRule type="containsText" dxfId="20" priority="23" operator="containsText" text="SUB-1">
      <formula>NOT(ISERROR(SEARCH("SUB-1",H5)))</formula>
    </cfRule>
  </conditionalFormatting>
  <conditionalFormatting sqref="I5">
    <cfRule type="containsText" dxfId="19" priority="22" operator="containsText" text="SUB-2">
      <formula>NOT(ISERROR(SEARCH("SUB-2",I5)))</formula>
    </cfRule>
  </conditionalFormatting>
  <conditionalFormatting sqref="D5">
    <cfRule type="containsText" dxfId="18" priority="21" operator="containsText" text="ID">
      <formula>NOT(ISERROR(SEARCH("ID",D5)))</formula>
    </cfRule>
  </conditionalFormatting>
  <conditionalFormatting sqref="E5">
    <cfRule type="containsText" dxfId="17" priority="20" operator="containsText" text="STUDENT_NAME">
      <formula>NOT(ISERROR(SEARCH("STUDENT_NAME",E5)))</formula>
    </cfRule>
  </conditionalFormatting>
  <conditionalFormatting sqref="J5">
    <cfRule type="containsText" dxfId="16" priority="19" operator="containsText" text="TOTAL">
      <formula>NOT(ISERROR(SEARCH("TOTAL",J5)))</formula>
    </cfRule>
  </conditionalFormatting>
  <conditionalFormatting sqref="K5">
    <cfRule type="containsText" dxfId="15" priority="18" operator="containsText" text="AVERAGE ">
      <formula>NOT(ISERROR(SEARCH("AVERAGE ",K5)))</formula>
    </cfRule>
  </conditionalFormatting>
  <conditionalFormatting sqref="L5">
    <cfRule type="containsText" dxfId="14" priority="17" operator="containsText" text="GRADE">
      <formula>NOT(ISERROR(SEARCH("GRADE",L5)))</formula>
    </cfRule>
  </conditionalFormatting>
  <conditionalFormatting sqref="M5">
    <cfRule type="containsText" dxfId="13" priority="16" operator="containsText" text="STATUS">
      <formula>NOT(ISERROR(SEARCH("STATUS",M5)))</formula>
    </cfRule>
  </conditionalFormatting>
  <conditionalFormatting sqref="N5">
    <cfRule type="containsText" dxfId="12" priority="15" operator="containsText" text="RANK">
      <formula>NOT(ISERROR(SEARCH("RANK",N5)))</formula>
    </cfRule>
  </conditionalFormatting>
  <conditionalFormatting sqref="G6:G155">
    <cfRule type="containsText" dxfId="11" priority="9" operator="containsText" text="AI&amp;ML">
      <formula>NOT(ISERROR(SEARCH("AI&amp;ML",G6)))</formula>
    </cfRule>
    <cfRule type="containsText" dxfId="10" priority="10" operator="containsText" text="EEE">
      <formula>NOT(ISERROR(SEARCH("EEE",G6)))</formula>
    </cfRule>
    <cfRule type="containsText" dxfId="9" priority="11" operator="containsText" text="ECE">
      <formula>NOT(ISERROR(SEARCH("ECE",G6)))</formula>
    </cfRule>
    <cfRule type="containsText" dxfId="8" priority="12" operator="containsText" text="CSE">
      <formula>NOT(ISERROR(SEARCH("CSE",G6)))</formula>
    </cfRule>
  </conditionalFormatting>
  <conditionalFormatting sqref="N6:N155">
    <cfRule type="containsText" dxfId="7" priority="2" operator="containsText" text="3rd">
      <formula>NOT(ISERROR(SEARCH("3rd",N6)))</formula>
    </cfRule>
    <cfRule type="containsText" dxfId="6" priority="3" operator="containsText" text="5th">
      <formula>NOT(ISERROR(SEARCH("5th",N6)))</formula>
    </cfRule>
    <cfRule type="containsText" dxfId="5" priority="4" operator="containsText" text="5th">
      <formula>NOT(ISERROR(SEARCH("5th",N6)))</formula>
    </cfRule>
    <cfRule type="containsText" dxfId="4" priority="5" operator="containsText" text="4th Rank">
      <formula>NOT(ISERROR(SEARCH("4th Rank",N6)))</formula>
    </cfRule>
    <cfRule type="containsText" dxfId="3" priority="6" operator="containsText" text="3rd Rank">
      <formula>NOT(ISERROR(SEARCH("3rd Rank",N6)))</formula>
    </cfRule>
    <cfRule type="containsText" dxfId="2" priority="7" operator="containsText" text="2nd Rank">
      <formula>NOT(ISERROR(SEARCH("2nd Rank",N6)))</formula>
    </cfRule>
    <cfRule type="containsText" dxfId="1" priority="8" operator="containsText" text="1st Rank">
      <formula>NOT(ISERROR(SEARCH("1st Rank",N6)))</formula>
    </cfRule>
  </conditionalFormatting>
  <conditionalFormatting sqref="L6:L158">
    <cfRule type="containsText" dxfId="0" priority="1" operator="containsText" text="B">
      <formula>NOT(ISERROR(SEARCH("B",L6)))</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C90DE-A2D0-4317-9917-EFB49213F076}">
  <dimension ref="E1:S3"/>
  <sheetViews>
    <sheetView showGridLines="0" workbookViewId="0">
      <selection activeCell="U3" sqref="U3"/>
    </sheetView>
  </sheetViews>
  <sheetFormatPr defaultRowHeight="14.4" x14ac:dyDescent="0.3"/>
  <sheetData>
    <row r="1" spans="5:19" x14ac:dyDescent="0.3">
      <c r="E1" s="15"/>
      <c r="F1" s="15"/>
      <c r="G1" s="15"/>
      <c r="H1" s="15"/>
      <c r="I1" s="15"/>
      <c r="J1" s="15"/>
      <c r="K1" s="15"/>
      <c r="L1" s="15"/>
      <c r="M1" s="15"/>
      <c r="N1" s="15"/>
      <c r="O1" s="15"/>
      <c r="P1" s="15"/>
      <c r="Q1" s="15"/>
      <c r="R1" s="15"/>
      <c r="S1" s="15"/>
    </row>
    <row r="2" spans="5:19" ht="33.6" x14ac:dyDescent="0.65">
      <c r="E2" s="15"/>
      <c r="F2" s="15"/>
      <c r="G2" s="15"/>
      <c r="H2" s="17" t="s">
        <v>146</v>
      </c>
      <c r="I2" s="15"/>
      <c r="J2" s="15"/>
      <c r="K2" s="15"/>
      <c r="L2" s="15"/>
      <c r="M2" s="15"/>
      <c r="N2" s="15"/>
      <c r="O2" s="15"/>
      <c r="P2" s="15"/>
      <c r="Q2" s="15"/>
      <c r="R2" s="15"/>
      <c r="S2" s="15"/>
    </row>
    <row r="3" spans="5:19" x14ac:dyDescent="0.3">
      <c r="E3" s="15"/>
      <c r="F3" s="15"/>
      <c r="G3" s="15"/>
      <c r="H3" s="16"/>
      <c r="I3" s="15"/>
      <c r="J3" s="15"/>
      <c r="K3" s="15"/>
      <c r="L3" s="15"/>
      <c r="M3" s="15"/>
      <c r="N3" s="15"/>
      <c r="O3" s="15"/>
      <c r="P3" s="15"/>
      <c r="Q3" s="15"/>
      <c r="R3" s="15"/>
      <c r="S3"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Table-1</vt:lpstr>
      <vt:lpstr>Pivot Table-2</vt:lpstr>
      <vt:lpstr>Pivot Table-3</vt:lpstr>
      <vt:lpstr>Student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BHARATHI J</dc:creator>
  <cp:lastModifiedBy>BHARATHI J</cp:lastModifiedBy>
  <dcterms:created xsi:type="dcterms:W3CDTF">2026-03-29T09:31:47Z</dcterms:created>
  <dcterms:modified xsi:type="dcterms:W3CDTF">2026-03-30T06:34:00Z</dcterms:modified>
</cp:coreProperties>
</file>